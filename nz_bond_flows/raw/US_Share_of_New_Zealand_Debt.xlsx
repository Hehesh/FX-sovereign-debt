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imf" sheetId="1" r:id="rId4"/>
    <sheet state="visible" name="Calcs and Graphs" sheetId="2" r:id="rId5"/>
    <sheet state="visible" name="Intermediate Calcs" sheetId="3" r:id="rId6"/>
    <sheet state="visible" name="Regression Series" sheetId="4" r:id="rId7"/>
  </sheets>
  <definedNames>
    <definedName name="_xlchart.v1.1">'Calcs and Graphs'!$B$20:$BG$20</definedName>
    <definedName name="_xlchart.v1.0">'Calcs and Graphs'!$B$19:$BG$19</definedName>
    <definedName name="_xlchart.v1.2">'Calcs and Graphs'!$B$19:$BG$19</definedName>
    <definedName name="_xlchart.v1.3">'Calcs and Graphs'!$B$20:$BG$20</definedName>
  </definedNames>
  <calcPr/>
  <extLst>
    <ext uri="GoogleSheetsCustomDataVersion2">
      <go:sheetsCustomData xmlns:go="http://customooxmlschemas.google.com/" r:id="rId8" roundtripDataChecksum="m5Jg6LcdkrlBOP3nwHEB6ObDG2Qyny6qbQ50kMNbujA="/>
    </ext>
  </extLst>
</workbook>
</file>

<file path=xl/sharedStrings.xml><?xml version="1.0" encoding="utf-8"?>
<sst xmlns="http://schemas.openxmlformats.org/spreadsheetml/2006/main" count="6665" uniqueCount="867">
  <si>
    <t>date</t>
  </si>
  <si>
    <t>KEY</t>
  </si>
  <si>
    <t>us_share</t>
  </si>
  <si>
    <t>DATASET</t>
  </si>
  <si>
    <t>SERIES_CODE</t>
  </si>
  <si>
    <t>OBS_MEASURE</t>
  </si>
  <si>
    <t>COUNTRY</t>
  </si>
  <si>
    <t>ACCOUNTING_ENTRY</t>
  </si>
  <si>
    <t>INDICATOR</t>
  </si>
  <si>
    <t>SECTOR</t>
  </si>
  <si>
    <t>COUNTERPART_SECTOR</t>
  </si>
  <si>
    <t>COUNTERPART_COUNTRY</t>
  </si>
  <si>
    <t>FREQUENCY</t>
  </si>
  <si>
    <t>SCALE</t>
  </si>
  <si>
    <t>1997-S1</t>
  </si>
  <si>
    <t>1997-S2</t>
  </si>
  <si>
    <t>1998-S1</t>
  </si>
  <si>
    <t>1998-S2</t>
  </si>
  <si>
    <t>1999-S1</t>
  </si>
  <si>
    <t>1999-S2</t>
  </si>
  <si>
    <t>2000-S1</t>
  </si>
  <si>
    <t>2000-S2</t>
  </si>
  <si>
    <t>2001-S1</t>
  </si>
  <si>
    <t>2001-S2</t>
  </si>
  <si>
    <t>2002-S1</t>
  </si>
  <si>
    <t>2002-S2</t>
  </si>
  <si>
    <t>2003-S1</t>
  </si>
  <si>
    <t>2003-S2</t>
  </si>
  <si>
    <t>2004-S1</t>
  </si>
  <si>
    <t>2004-S2</t>
  </si>
  <si>
    <t>2005-S1</t>
  </si>
  <si>
    <t>2005-S2</t>
  </si>
  <si>
    <t>2006-S1</t>
  </si>
  <si>
    <t>2006-S2</t>
  </si>
  <si>
    <t>2007-S1</t>
  </si>
  <si>
    <t>2007-S2</t>
  </si>
  <si>
    <t>2008-S1</t>
  </si>
  <si>
    <t>2008-S2</t>
  </si>
  <si>
    <t>2009-S1</t>
  </si>
  <si>
    <t>2009-S2</t>
  </si>
  <si>
    <t>2010-S1</t>
  </si>
  <si>
    <t>2010-S2</t>
  </si>
  <si>
    <t>2011-S1</t>
  </si>
  <si>
    <t>2011-S2</t>
  </si>
  <si>
    <t>2012-S1</t>
  </si>
  <si>
    <t>2012-S2</t>
  </si>
  <si>
    <t>2013-S1</t>
  </si>
  <si>
    <t>2013-S2</t>
  </si>
  <si>
    <t>2014-S1</t>
  </si>
  <si>
    <t>2014-S2</t>
  </si>
  <si>
    <t>2015-S1</t>
  </si>
  <si>
    <t>2015-S2</t>
  </si>
  <si>
    <t>2016-S1</t>
  </si>
  <si>
    <t>2016-S2</t>
  </si>
  <si>
    <t>2017-S1</t>
  </si>
  <si>
    <t>2017-S2</t>
  </si>
  <si>
    <t>2018-S1</t>
  </si>
  <si>
    <t>2018-S2</t>
  </si>
  <si>
    <t>2019-S1</t>
  </si>
  <si>
    <t>2019-S2</t>
  </si>
  <si>
    <t>2020-S1</t>
  </si>
  <si>
    <t>2020-S2</t>
  </si>
  <si>
    <t>2021-S1</t>
  </si>
  <si>
    <t>2021-S2</t>
  </si>
  <si>
    <t>2022-S1</t>
  </si>
  <si>
    <t>2022-S2</t>
  </si>
  <si>
    <t>2023-S1</t>
  </si>
  <si>
    <t>2023-S2</t>
  </si>
  <si>
    <t>2024-S1</t>
  </si>
  <si>
    <t>2024-S2</t>
  </si>
  <si>
    <t>2025-S1</t>
  </si>
  <si>
    <t>2025-S2</t>
  </si>
  <si>
    <t>IMF.STA:PIP(5.0.0)</t>
  </si>
  <si>
    <t>NZL.L.P_F3_L_P_USD.S1.S1.MEX.S</t>
  </si>
  <si>
    <t>OBS_VALUE</t>
  </si>
  <si>
    <t>New Zealand</t>
  </si>
  <si>
    <t>Liabilities</t>
  </si>
  <si>
    <t>Portfolio investment, Debt securities, Long-term, Positions</t>
  </si>
  <si>
    <t>Total economy</t>
  </si>
  <si>
    <t>Mexico</t>
  </si>
  <si>
    <t>Half-yearly, semester</t>
  </si>
  <si>
    <t>Millions</t>
  </si>
  <si>
    <t>NZL.L.P_F3_L_P_USD.S1.S1.FIN.S</t>
  </si>
  <si>
    <t>Finland</t>
  </si>
  <si>
    <t>NZL.L.P_F3_L_P_USD.S1.S1.QAT.S</t>
  </si>
  <si>
    <t>Qatar</t>
  </si>
  <si>
    <t>NZL.L.P_F3_L_P_USD.S1.S1.LIE.S</t>
  </si>
  <si>
    <t>Liechtenstein, Principality of</t>
  </si>
  <si>
    <t>NZL.L.P_F3_L_P_USD.S1.S1.TCA.S</t>
  </si>
  <si>
    <t>Turks and Caicos Islands</t>
  </si>
  <si>
    <t>NZL.L.P_F3_L_P_USD.S1.S1.HRV.S</t>
  </si>
  <si>
    <t>Croatia, Republic of</t>
  </si>
  <si>
    <t>NZL.L.P_F3_L_P_USD.S1.S1.SWE.S</t>
  </si>
  <si>
    <t>Sweden</t>
  </si>
  <si>
    <t>NZL.L.P_F3_L_P_USD.S1.S1.GIB.S</t>
  </si>
  <si>
    <t>Gibraltar</t>
  </si>
  <si>
    <t>NZL.L.P_F3_L_P_USD.S1.S1.LBY.S</t>
  </si>
  <si>
    <t>Libya</t>
  </si>
  <si>
    <t>NZL.L.P_F3_L_P_USD.S1.S1.NRU.S</t>
  </si>
  <si>
    <t>Naoero, Republic of</t>
  </si>
  <si>
    <t>NZL.L.P_F3_L_P_USD.S1.S1.ZWE.S</t>
  </si>
  <si>
    <t>Zimbabwe</t>
  </si>
  <si>
    <t>NZL.L.P_F3_L_P_USD.S1.S1.BGR.S</t>
  </si>
  <si>
    <t>Bulgaria</t>
  </si>
  <si>
    <t>NZL.L.P_F3_L_P_USD.S1.S1.TON.S</t>
  </si>
  <si>
    <t>Tonga</t>
  </si>
  <si>
    <t>NZL.L.P_F3_L_P_USD.S1.S1.ISL.S</t>
  </si>
  <si>
    <t>Iceland</t>
  </si>
  <si>
    <t>NZL.L.P_F3_L_P_USD.S1.S1.GRC.S</t>
  </si>
  <si>
    <t>Greece</t>
  </si>
  <si>
    <t>NZL.L.P_F3_L_P_USD.S1.S1.RUS.S</t>
  </si>
  <si>
    <t>Russian Federation</t>
  </si>
  <si>
    <t>NZL.L.P_F3_L_P_USD.S1.S1.NGA.S</t>
  </si>
  <si>
    <t>Nigeria</t>
  </si>
  <si>
    <t>NZL.L.P_F3_L_P_USD.S1.S1.NIU.S</t>
  </si>
  <si>
    <t>Niue</t>
  </si>
  <si>
    <t>NZL.L.P_F3_L_P_USD.S1.S1.FLK.S</t>
  </si>
  <si>
    <t>Falkland Islands (Malvinas)</t>
  </si>
  <si>
    <t>NZL.L.P_F3_L_P_USD.S1.S1.IDN.S</t>
  </si>
  <si>
    <t>Indonesia</t>
  </si>
  <si>
    <t>NZL.L.P_F3_L_P_USD.S1.S1.UGA.S</t>
  </si>
  <si>
    <t>Uganda</t>
  </si>
  <si>
    <t>NZL.L.P_F3_L_P_USD.S1.S1.ARM.S</t>
  </si>
  <si>
    <t>Armenia, Republic of</t>
  </si>
  <si>
    <t>NZL.L.P_F3_L_P_USD.S1.S1.MLT.S</t>
  </si>
  <si>
    <t>Malta</t>
  </si>
  <si>
    <t>NZL.L.P_F3_L_P_USD.S1.S1.KEN.S</t>
  </si>
  <si>
    <t>Kenya</t>
  </si>
  <si>
    <t>NZL.L.P_F3_L_P_USD.S1.S1.IMN.S</t>
  </si>
  <si>
    <t>Isle of Man</t>
  </si>
  <si>
    <t>NZL.L.P_F3_L_P_USD.S1.S1.ASM.S</t>
  </si>
  <si>
    <t>American Samoa</t>
  </si>
  <si>
    <t>NZL.L.P_F3_L_P_USD.S1.S1.VEN.S</t>
  </si>
  <si>
    <t>Venezuela, República Bolivariana de</t>
  </si>
  <si>
    <t>NZL.L.P_F3_L_P_USD.S1.S1.CHL.S</t>
  </si>
  <si>
    <t>Chile</t>
  </si>
  <si>
    <t>NZL.L.P_F3_L_P_USD.S1.S1.BGD.S</t>
  </si>
  <si>
    <t>Bangladesh</t>
  </si>
  <si>
    <t>NZL.L.P_F3_L_P_USD.S1.S1.MAC.S</t>
  </si>
  <si>
    <t>Macao Special Administrative Region, People's Republic of China</t>
  </si>
  <si>
    <t>NZL.L.P_F3_L_P_USD.S1.S1.TX091.S</t>
  </si>
  <si>
    <t>International Organizations</t>
  </si>
  <si>
    <t>NZL.L.P_F3_L_P_USD.S1.S1.BRN.S</t>
  </si>
  <si>
    <t>Brunei Darussalam</t>
  </si>
  <si>
    <t>NZL.L.P_F3_L_P_USD.S1.S1.AND.S</t>
  </si>
  <si>
    <t>Andorra, Principality of</t>
  </si>
  <si>
    <t>NZL.L.P_F3_L_P_USD.S1.S1.UKR.S</t>
  </si>
  <si>
    <t>Ukraine</t>
  </si>
  <si>
    <t>NZL.L.P_F3_L_P_USD.S1.S1.WSM.S</t>
  </si>
  <si>
    <t>Samoa</t>
  </si>
  <si>
    <t>NZL.L.P_F3_L_P_USD.S1.S1.BHS.S</t>
  </si>
  <si>
    <t>Bahamas, The</t>
  </si>
  <si>
    <t>NZL.L.P_F3_L_P_USD.S1.S1.SLB.S</t>
  </si>
  <si>
    <t>Solomon Islands</t>
  </si>
  <si>
    <t>NZL.L.P_F3_L_P_USD.S1.S1.POL.S</t>
  </si>
  <si>
    <t>Poland, Republic of</t>
  </si>
  <si>
    <t>NZL.L.P_F3_L_P_USD.S1.S1.TUR.S</t>
  </si>
  <si>
    <t>Türkiye, Republic of</t>
  </si>
  <si>
    <t>NZL.L.P_F3_L_P_USD.S1.S1.BTN.S</t>
  </si>
  <si>
    <t>Bhutan</t>
  </si>
  <si>
    <t>NZL.L.P_F3_L_P_USD.S1.S1.VNM.S</t>
  </si>
  <si>
    <t>Vietnam</t>
  </si>
  <si>
    <t>NZL.L.P_F3_L_P_USD.S1.S1.PAK.S</t>
  </si>
  <si>
    <t>Pakistan</t>
  </si>
  <si>
    <t>NZL.L.P_F3_P_USD.S1.S1.SUR.S</t>
  </si>
  <si>
    <t>Portfolio investment, Debt securities, Positions</t>
  </si>
  <si>
    <t>Suriname</t>
  </si>
  <si>
    <t>NZL.L.P_F3_P_USD.S1.S1.GRD.S</t>
  </si>
  <si>
    <t>Grenada</t>
  </si>
  <si>
    <t>NZL.L.P_F3_P_USD.S1.S1.KNA.S</t>
  </si>
  <si>
    <t>St. Kitts and Nevis</t>
  </si>
  <si>
    <t>NZL.L.P_F3_P_USD.S1.S1.ANT.S</t>
  </si>
  <si>
    <t>Netherlands Antilles</t>
  </si>
  <si>
    <t>NZL.L.P_F3_L_P_USD.S1.S1.VGB.S</t>
  </si>
  <si>
    <t>British Virgin Islands</t>
  </si>
  <si>
    <t>NZL.L.P_F3_L_P_USD.S1.S1.NFK.S</t>
  </si>
  <si>
    <t>Norfolk Island</t>
  </si>
  <si>
    <t>NZL.L.P_F3_P_USD.S1.S1.NIC.S</t>
  </si>
  <si>
    <t>Nicaragua</t>
  </si>
  <si>
    <t>NZL.L.P_F3_L_P_USD.S1.S1.HUN.S</t>
  </si>
  <si>
    <t>Hungary</t>
  </si>
  <si>
    <t>NZL.L.P_F3_P_USD.S1.S1.PRI.S</t>
  </si>
  <si>
    <t>Puerto Rico</t>
  </si>
  <si>
    <t>NZL.L.P_F3_P_USD.S1.S1.SWE.S</t>
  </si>
  <si>
    <t>NZL.L.P_F3_P_USD.S1.S1.TTO.S</t>
  </si>
  <si>
    <t>Trinidad and Tobago</t>
  </si>
  <si>
    <t>NZL.L.P_F3_P_USD.S1.S1.FIN.S</t>
  </si>
  <si>
    <t>NZL.L.P_F3_P_USD.S1.S1.BES.S</t>
  </si>
  <si>
    <t>Bonaire, Saint Eustatius and Saba</t>
  </si>
  <si>
    <t>NZL.L.P_F3_P_USD.S1.S1.ISL.S</t>
  </si>
  <si>
    <t>NZL.L.P_F3_P_USD.S1.S1.ATG.S</t>
  </si>
  <si>
    <t>Antigua and Barbuda</t>
  </si>
  <si>
    <t>NZL.L.P_F3_P_USD.S1.S1.PER.S</t>
  </si>
  <si>
    <t>Peru</t>
  </si>
  <si>
    <t>NZL.L.P_F3_L_P_USD.S1.S1.EGY.S</t>
  </si>
  <si>
    <t>Egypt, Arab Republic of</t>
  </si>
  <si>
    <t>NZL.L.P_F3_L_P_USD.S1.S1.KHM.S</t>
  </si>
  <si>
    <t>Cambodia</t>
  </si>
  <si>
    <t>NZL.L.P_F3_L_P_USD.S1.S1.SVK.S</t>
  </si>
  <si>
    <t>Slovak Republic</t>
  </si>
  <si>
    <t>NZL.L.P_F3_P_USD.S1.S1.FLK.S</t>
  </si>
  <si>
    <t>NZL.L.P_F3_P_USD.S1.S1.URY.S</t>
  </si>
  <si>
    <t>Uruguay</t>
  </si>
  <si>
    <t>NZL.L.P_F3_L_P_USD.S1.S1.KAZ.S</t>
  </si>
  <si>
    <t>Kazakhstan, Republic of</t>
  </si>
  <si>
    <t>NZL.L.P_F3_P_USD.S1.S1.VIR.S</t>
  </si>
  <si>
    <t>United States Virgin Islands</t>
  </si>
  <si>
    <t>NZL.L.P_F3_L_P_USD.S1.S1.CYP.S</t>
  </si>
  <si>
    <t>Cyprus</t>
  </si>
  <si>
    <t>NZL.L.P_F3_P_USD.S1.S1.VAT.S</t>
  </si>
  <si>
    <t>Holy See</t>
  </si>
  <si>
    <t>NZL.L.P_F3_P_USD.S1.S1.ARG.S</t>
  </si>
  <si>
    <t>Argentina</t>
  </si>
  <si>
    <t>NZL.L.P_F3_P_USD.S1.S1.LCA.S</t>
  </si>
  <si>
    <t>St. Lucia</t>
  </si>
  <si>
    <t>NZL.L.P_F3_P_USD.S1.S1.TUR.S</t>
  </si>
  <si>
    <t>NZL.L.P_F3_P_USD.S1.S1.BRA.S</t>
  </si>
  <si>
    <t>Brazil</t>
  </si>
  <si>
    <t>NZL.L.P_F3_P_USD.S1.S1.CUW.S</t>
  </si>
  <si>
    <t>Curaçao, Kingdom of the Netherlands</t>
  </si>
  <si>
    <t>NZL.L.P_F3_P_USD.S1.S1.BHS.S</t>
  </si>
  <si>
    <t>NZL.L.P_F3_P_USD.S1.S1.MSR.S</t>
  </si>
  <si>
    <t>Montserrat, United Kingdom-British Overseas Territory</t>
  </si>
  <si>
    <t>NZL.L.P_F3_P_USD.S1.S1.IMN.S</t>
  </si>
  <si>
    <t>NZL.L.P_F3_L_P_USD.S1.S1.MWI.S</t>
  </si>
  <si>
    <t>Malawi</t>
  </si>
  <si>
    <t>NZL.L.P_F3_L_P_USD.S1.S1.OMN.S</t>
  </si>
  <si>
    <t>Oman</t>
  </si>
  <si>
    <t>NZL.L.P_F3_P_USD.S1.S1.SLV.S</t>
  </si>
  <si>
    <t>El Salvador</t>
  </si>
  <si>
    <t>NZL.L.P_F3_P_USD.S1.S1.PAN.S</t>
  </si>
  <si>
    <t>Panama</t>
  </si>
  <si>
    <t>NZL.L.P_F3_P_USD.S1.S1.AND.S</t>
  </si>
  <si>
    <t>NZL.L.P_F3_P_USD.S1.S1.DOM.S</t>
  </si>
  <si>
    <t>Dominican Republic</t>
  </si>
  <si>
    <t>NZL.L.P_F3_L_P_USD.S1.S1.ISR.S</t>
  </si>
  <si>
    <t>Israel</t>
  </si>
  <si>
    <t>NZL.L.P_F3_L_P_USD.S1.S1.PNG.S</t>
  </si>
  <si>
    <t>Papua New Guinea</t>
  </si>
  <si>
    <t>NZL.L.P_F3_L_P_USD.S1.S1.MMR.S</t>
  </si>
  <si>
    <t>Myanmar</t>
  </si>
  <si>
    <t>NZL.L.P_F3_L_P_USD.S1.S1.GUM.S</t>
  </si>
  <si>
    <t>Guam</t>
  </si>
  <si>
    <t>NZL.L.P_F3_P_USD.S1.S1.BHR.S</t>
  </si>
  <si>
    <t>Bahrain, Kingdom of</t>
  </si>
  <si>
    <t>NZL.L.P_F3_L_P_USD.S1.S1.BIH.S</t>
  </si>
  <si>
    <t>Bosnia and Herzegovina</t>
  </si>
  <si>
    <t>NZL.L.P_F3_L_P_USD.S1.S1.TUN.S</t>
  </si>
  <si>
    <t>Tunisia</t>
  </si>
  <si>
    <t>NZL.L.P_F3_P_USD.S1.S1.HTI.S</t>
  </si>
  <si>
    <t>Haiti</t>
  </si>
  <si>
    <t>NZL.L.P_F3_P_USD.S1.S1.MCO.S</t>
  </si>
  <si>
    <t>Monaco</t>
  </si>
  <si>
    <t>NZL.L.P_F3_P_USD.S1.S1.AIA.S</t>
  </si>
  <si>
    <t>Anguilla, United Kingdom-British Overseas Territory</t>
  </si>
  <si>
    <t>NZL.L.P_F3_P_USD.S1.S1.PRT.S</t>
  </si>
  <si>
    <t>Portugal</t>
  </si>
  <si>
    <t>NZL.L.P_F3_P_USD.S1.S1.HND.S</t>
  </si>
  <si>
    <t>Honduras</t>
  </si>
  <si>
    <t>NZL.L.P_F3_P_USD.S1.S1.VEN.S</t>
  </si>
  <si>
    <t>NZL.L.P_F3_P_USD.S1.S1.CHL.S</t>
  </si>
  <si>
    <t>NZL.L.P_F3_L_P_USD.S1.S1.BRA.S</t>
  </si>
  <si>
    <t>NZL.L.P_F3_P_USD.S1.S1.KIR.S</t>
  </si>
  <si>
    <t>Kiribati</t>
  </si>
  <si>
    <t>NZL.L.P_F3_P_USD.S1.S1.TCA.S</t>
  </si>
  <si>
    <t>NZL.L.P_F3_P_USD.S1.S1.MHL.S</t>
  </si>
  <si>
    <t>Marshall Islands, Republic of the</t>
  </si>
  <si>
    <t>NZL.L.P_F3_P_USD.S1.S1.GHA.S</t>
  </si>
  <si>
    <t>Ghana</t>
  </si>
  <si>
    <t>NZL.L.P_F3_P_USD.S1.S1.SMR.S</t>
  </si>
  <si>
    <t>San Marino, Republic of</t>
  </si>
  <si>
    <t>NZL.L.P_F3_P_USD.S1.S1.UGA.S</t>
  </si>
  <si>
    <t>NZL.L.P_F3_P_USD.S1.S1.SLE.S</t>
  </si>
  <si>
    <t>Sierra Leone</t>
  </si>
  <si>
    <t>NZL.L.P_F3_P_USD.S1.S1.GUY.S</t>
  </si>
  <si>
    <t>Guyana</t>
  </si>
  <si>
    <t>NZL.L.P_F3_P_USD.S1.S1.TGO.S</t>
  </si>
  <si>
    <t>Togo</t>
  </si>
  <si>
    <t>NZL.L.P_F3_P_USD.S1.S1.CMR.S</t>
  </si>
  <si>
    <t>Cameroon</t>
  </si>
  <si>
    <t>NZL.L.P_F3_P_USD.S1.S1.AFG.S</t>
  </si>
  <si>
    <t>Afghanistan, Islamic Republic of</t>
  </si>
  <si>
    <t>NZL.L.P_F3_P_USD.S1.S1.ZWE.S</t>
  </si>
  <si>
    <t>NZL.L.P_F3_P_USD.S1.S1.ZMB.S</t>
  </si>
  <si>
    <t>Zambia</t>
  </si>
  <si>
    <t>NZL.L.P_F3_P_USD.S1.S1.PRY.S</t>
  </si>
  <si>
    <t>Paraguay</t>
  </si>
  <si>
    <t>NZL.L.P_F3_P_USD.S1.S1.VGB.S</t>
  </si>
  <si>
    <t>NZL.L.P_F3_P_USD.S1.S1.LBR.S</t>
  </si>
  <si>
    <t>Liberia</t>
  </si>
  <si>
    <t>NZL.L.P_F3_P_USD.S1.S1.GLP.S</t>
  </si>
  <si>
    <t>Guadeloupe</t>
  </si>
  <si>
    <t>NZL.L.P_F3_P_USD.S1.S1.IDN.S</t>
  </si>
  <si>
    <t>NZL.L.P_F3_P_USD.S1.S1.MRT.S</t>
  </si>
  <si>
    <t>Mauritania, Islamic Republic of</t>
  </si>
  <si>
    <t>NZL.L.P_F3_P_USD.S1.S1.BRN.S</t>
  </si>
  <si>
    <t>NZL.L.P_F3_P_USD.S1.S1.CYP.S</t>
  </si>
  <si>
    <t>NZL.L.P_F3_P_USD.S1.S1.KGZ.S</t>
  </si>
  <si>
    <t>Kyrgyz Republic</t>
  </si>
  <si>
    <t>NZL.L.P_F3_P_USD.S1.S1.GMB.S</t>
  </si>
  <si>
    <t>Gambia, The</t>
  </si>
  <si>
    <t>NZL.L.P_F3_P_USD.S1.S1.COL.S</t>
  </si>
  <si>
    <t>Colombia</t>
  </si>
  <si>
    <t>NZL.L.P_F3_P_USD.S1.S1.JEY.S</t>
  </si>
  <si>
    <t>Jersey</t>
  </si>
  <si>
    <t>NZL.L.P_F3_P_USD.S1.S1.LBY.S</t>
  </si>
  <si>
    <t>NZL.L.P_F3_P_USD.S1.S1.ETH.S</t>
  </si>
  <si>
    <t>Ethiopia, The Federal Democratic Republic of</t>
  </si>
  <si>
    <t>NZL.L.P_F3_P_USD.S1.S1.STP.S</t>
  </si>
  <si>
    <t>São Tomé and Príncipe, Democratic Republic of</t>
  </si>
  <si>
    <t>NZL.L.P_F3_P_USD.S1.S1.EGY.S</t>
  </si>
  <si>
    <t>NZL.L.P_F3_P_USD.S1.S1.FSM.S</t>
  </si>
  <si>
    <t>Micronesia, Federated States of</t>
  </si>
  <si>
    <t>NZL.L.P_F3_P_USD.S1.S1.CRI.S</t>
  </si>
  <si>
    <t>Costa Rica</t>
  </si>
  <si>
    <t>NZL.L.P_F3_P_USD.S1.S1.NGA.S</t>
  </si>
  <si>
    <t>NZL.L.P_F3_P_USD.S1.S1.BLZ.S</t>
  </si>
  <si>
    <t>Belize</t>
  </si>
  <si>
    <t>NZL.L.P_F3_P_USD.S1.S1.CXR.S</t>
  </si>
  <si>
    <t>Christmas Island</t>
  </si>
  <si>
    <t>NZL.L.P_F3_P_USD.S1.S1.MEX.S</t>
  </si>
  <si>
    <t>NZL.L.P_F3_P_USD.S1.S1.TJK.S</t>
  </si>
  <si>
    <t>Tajikistan, Republic of</t>
  </si>
  <si>
    <t>NZL.L.P_F3_P_USD.S1.S1.MAR.S</t>
  </si>
  <si>
    <t>Morocco</t>
  </si>
  <si>
    <t>NZL.L.P_F3_P_USD.S1.S1.GTM.S</t>
  </si>
  <si>
    <t>Guatemala</t>
  </si>
  <si>
    <t>NZL.L.P_F3_P_USD.S1.S1.SYR.S</t>
  </si>
  <si>
    <t>Syrian Arab Republic</t>
  </si>
  <si>
    <t>NZL.L.P_F3_P_USD.S1.S1.KEN.S</t>
  </si>
  <si>
    <t>NZL.L.P_F3_P_USD.S1.S1.WBG.S</t>
  </si>
  <si>
    <t>West Bank and Gaza</t>
  </si>
  <si>
    <t>NZL.L.P_F3_P_USD.S1.S1.ESH.S</t>
  </si>
  <si>
    <t>Western Sahara</t>
  </si>
  <si>
    <t>NZL.L.P_F3_P_USD.S1.S1.BEN.S</t>
  </si>
  <si>
    <t>Benin</t>
  </si>
  <si>
    <t>NZL.L.P_F3_P_USD.S1.S1.ATF.S</t>
  </si>
  <si>
    <t>French Southern Territories</t>
  </si>
  <si>
    <t>NZL.L.P_F3_P_USD.S1.S1.TX585.S</t>
  </si>
  <si>
    <t>British Indian Ocean Territory</t>
  </si>
  <si>
    <t>NZL.L.P_F3_P_USD.S1.S1.TX374.S</t>
  </si>
  <si>
    <t>US Pacific Islands</t>
  </si>
  <si>
    <t>NZL.L.P_F3_P_USD.S1.S1.IRN.S</t>
  </si>
  <si>
    <t>Iran, Islamic Republic of</t>
  </si>
  <si>
    <t>NZL.L.P_F3_P_USD.S1.S1.CAF.S</t>
  </si>
  <si>
    <t>Central African Republic</t>
  </si>
  <si>
    <t>NZL.L.P_F3_P_USD.S1.S1.MLT.S</t>
  </si>
  <si>
    <t>NZL.L.P_F3_P_USD.S1.S1.WLF.S</t>
  </si>
  <si>
    <t>Wallis and Futuna Islands</t>
  </si>
  <si>
    <t>NZL.L.P_F3_P_USD.S1.S1.NPL.S</t>
  </si>
  <si>
    <t>Nepal</t>
  </si>
  <si>
    <t>NZL.L.P_F3_P_USD.S1.S1.NAM.S</t>
  </si>
  <si>
    <t>Namibia</t>
  </si>
  <si>
    <t>NZL.L.P_F3_P_USD.S1.S1.TX091.S</t>
  </si>
  <si>
    <t>NZL.L.P_F3_P_USD.S1.S1.COG.S</t>
  </si>
  <si>
    <t>Congo, Republic of</t>
  </si>
  <si>
    <t>NZL.L.P_F3_P_USD.S1.S1.SPM.S</t>
  </si>
  <si>
    <t>St. Pierre and Miquelon</t>
  </si>
  <si>
    <t>NZL.L.P_F3_P_USD.S1.S1.BDI.S</t>
  </si>
  <si>
    <t>Burundi</t>
  </si>
  <si>
    <t>NZL.L.P_F3_P_USD.S1.S1.MAC.S</t>
  </si>
  <si>
    <t>NZL.L.P_F3_P_USD.S1.S1.UZB.S</t>
  </si>
  <si>
    <t>Uzbekistan, Republic of</t>
  </si>
  <si>
    <t>NZL.L.P_F3_P_USD.S1.S1.AGO.S</t>
  </si>
  <si>
    <t>Angola</t>
  </si>
  <si>
    <t>NZL.L.P_F3_P_USD.S1.S1.QAT.S</t>
  </si>
  <si>
    <t>NZL.L.P_F3_P_USD.S1.S1.SDN.S</t>
  </si>
  <si>
    <t>Sudan</t>
  </si>
  <si>
    <t>NZL.L.P_F3_P_USD.S1.S1.VCT.S</t>
  </si>
  <si>
    <t>St. Vincent and the Grenadines</t>
  </si>
  <si>
    <t>NZL.L.P_F3_P_USD.S1.S1.JOR.S</t>
  </si>
  <si>
    <t>Jordan</t>
  </si>
  <si>
    <t>NZL.L.P_F3_P_USD.S1.S1.GRC.S</t>
  </si>
  <si>
    <t>NZL.L.P_F3_P_USD.S1.S1.ABW.S</t>
  </si>
  <si>
    <t>Aruba, Kingdom of the Netherlands</t>
  </si>
  <si>
    <t>NZL.L.P_F3_P_USD.S1.S1.OMN.S</t>
  </si>
  <si>
    <t>NZL.L.P_F3_P_USD.S1.S1.GIN.S</t>
  </si>
  <si>
    <t>Guinea</t>
  </si>
  <si>
    <t>NZL.L.P_F3_P_USD.S1.S1.MWI.S</t>
  </si>
  <si>
    <t>NZL.L.P_F3_P_USD.S1.S1.IRQ.S</t>
  </si>
  <si>
    <t>Iraq</t>
  </si>
  <si>
    <t>NZL.L.P_F3_P_USD.S1.S1.LIE.S</t>
  </si>
  <si>
    <t>NZL.L.P_F3_P_USD.S1.S1.PLW.S</t>
  </si>
  <si>
    <t>Palau, Republic of</t>
  </si>
  <si>
    <t>NZL.L.P_F3_P_USD.S1.S1.ECU.S</t>
  </si>
  <si>
    <t>Ecuador</t>
  </si>
  <si>
    <t>NZL.L.P_F3_P_USD.S1.S1.JAM.S</t>
  </si>
  <si>
    <t>Jamaica</t>
  </si>
  <si>
    <t>NZL.L.P_F3_P_USD.S1.S1.BOL.S</t>
  </si>
  <si>
    <t>Bolivia</t>
  </si>
  <si>
    <t>NZL.L.P_F3_P_USD.S1.S1.MYT.S</t>
  </si>
  <si>
    <t>Mayotte</t>
  </si>
  <si>
    <t>HEADLINE: Debt securities, Positions (NZ-reported)</t>
  </si>
  <si>
    <t>World (row 320)</t>
  </si>
  <si>
    <t>NZL.L.P_F3_P_USD.S1.S1.DJI.S</t>
  </si>
  <si>
    <t>Djibouti</t>
  </si>
  <si>
    <t>NZL.L.P_F3_P_USD.S1.S1.ISR.S</t>
  </si>
  <si>
    <t>NZL.L.P_F3_P_USD.S1.S1.BGD.S</t>
  </si>
  <si>
    <t>NZL.L.P_F3_P_USD.S1.S1.GNB.S</t>
  </si>
  <si>
    <t>Guinea-Bissau</t>
  </si>
  <si>
    <t>NZL.L.P_F3_P_USD.S1.S1.BTN.S</t>
  </si>
  <si>
    <t>NZL.L.P_F3_P_USD.S1.S1.CPV.S</t>
  </si>
  <si>
    <t>Cabo Verde</t>
  </si>
  <si>
    <t>NZL.L.P_F3_P_USD.S1.S1.GRL.S</t>
  </si>
  <si>
    <t>Greenland</t>
  </si>
  <si>
    <t>NZL.L.P_F3_P_USD.S1.S1.PAK.S</t>
  </si>
  <si>
    <t>NZL.L.P_F3_P_USD.S1.S1.PCN.S</t>
  </si>
  <si>
    <t>Pitcairn Islands</t>
  </si>
  <si>
    <t>NZL.L.P_F3_P_USD.S1.S1.SOM.S</t>
  </si>
  <si>
    <t>Somalia</t>
  </si>
  <si>
    <t>NZL.L.P_F3_P_USD.S1.S1.YEM.S</t>
  </si>
  <si>
    <t>Yemen, Republic of</t>
  </si>
  <si>
    <t>NZL.L.P_F3_P_USD.S1.S1.AZE.S</t>
  </si>
  <si>
    <t>Azerbaijan, Republic of</t>
  </si>
  <si>
    <t>NZL.L.P_F3_P_USD.S1.S1.ARM.S</t>
  </si>
  <si>
    <t>NZL.L.P_F3_P_USD.S1.S1.BFA.S</t>
  </si>
  <si>
    <t>Burkina Faso</t>
  </si>
  <si>
    <t>NZL.L.P_F3_P_USD.S1.S1.KAZ.S</t>
  </si>
  <si>
    <t>NZL.L.P_F3_P_USD.S1.S1.NRU.S</t>
  </si>
  <si>
    <t>NZL.L.P_F3_P_USD.S1.S1.NFK.S</t>
  </si>
  <si>
    <t>NZL.L.P_F3_P_USD.S1.S1.VNM.S</t>
  </si>
  <si>
    <t>NZL.L.P_F3_P_USD.S1.S1.MDV.S</t>
  </si>
  <si>
    <t>Maldives</t>
  </si>
  <si>
    <t>NZL.L.P_F3_P_USD.S1.S1.GUM.S</t>
  </si>
  <si>
    <t>NZL.L.P_F3_P_USD.S1.S1.COM.S</t>
  </si>
  <si>
    <t>Comoros, Union of the</t>
  </si>
  <si>
    <t>NZL.L.P_F3_P_USD.S1.S1.KHM.S</t>
  </si>
  <si>
    <t>NZL.L.P_F3_P_USD.S1.S1.MUS.S</t>
  </si>
  <si>
    <t>Mauritius</t>
  </si>
  <si>
    <t>NZL.L.P_F3_P_USD.S1.S1.LBN.S</t>
  </si>
  <si>
    <t>Lebanon</t>
  </si>
  <si>
    <t>NZL.L.P_F3_P_USD.S1.S1.MKD.S</t>
  </si>
  <si>
    <t>North Macedonia, Republic of</t>
  </si>
  <si>
    <t>NZL.L.P_F3_P_USD.S1.S1.SEN.S</t>
  </si>
  <si>
    <t>Senegal</t>
  </si>
  <si>
    <t>NZL.L.P_F3_P_USD.S1.S1.PNG.S</t>
  </si>
  <si>
    <t>NZL.L.P_F3_P_USD.S1.S1.TLS.S</t>
  </si>
  <si>
    <t>Timor-Leste, Democratic Republic of</t>
  </si>
  <si>
    <t>NZL.L.P_F3_P_USD.S1.S1.MOZ.S</t>
  </si>
  <si>
    <t>Mozambique, Republic of</t>
  </si>
  <si>
    <t>NZL.L.P_F3_P_USD.S1.S1.TON.S</t>
  </si>
  <si>
    <t>NZL.L.P_F3_P_USD.S1.S1.BGR.S</t>
  </si>
  <si>
    <t>NZL.L.P_F3_P_USD.S1.S1.LTU.S</t>
  </si>
  <si>
    <t>Lithuania, Republic of</t>
  </si>
  <si>
    <t>NZL.L.P_F3_P_USD.S1.S1.SHN.S</t>
  </si>
  <si>
    <t>St. Helena</t>
  </si>
  <si>
    <t>NZL.L.P_F3_P_USD.S1.S1.CUB.S</t>
  </si>
  <si>
    <t>Cuba</t>
  </si>
  <si>
    <t>NZL.L.P_F3_P_USD.S1.S1.MDG.S</t>
  </si>
  <si>
    <t>Madagascar, Republic of</t>
  </si>
  <si>
    <t>NZL.L.P_F3_P_USD.S1.S1.UKR.S</t>
  </si>
  <si>
    <t>NZL.L.P_F3_P_USD.S1.S1.FRO.S</t>
  </si>
  <si>
    <t>Faroe Islands</t>
  </si>
  <si>
    <t>NZL.L.P_F3_P_USD.S1.S1.TCD.S</t>
  </si>
  <si>
    <t>Chad</t>
  </si>
  <si>
    <t>NZL.L.P_F3_P_USD.S1.S1.TKL.S</t>
  </si>
  <si>
    <t>Tokelau</t>
  </si>
  <si>
    <t>NZL.L.P_F3_P_USD.S1.S1.LSO.S</t>
  </si>
  <si>
    <t>Lesotho, Kingdom of</t>
  </si>
  <si>
    <t>NZL.L.P_F3_P_USD.S1.S1.NER.S</t>
  </si>
  <si>
    <t>Niger</t>
  </si>
  <si>
    <t>NZL.L.P_F3_P_USD.S1.S1.GUF.S</t>
  </si>
  <si>
    <t>French Guiana</t>
  </si>
  <si>
    <t>NZL.L.P_F3_P_USD.S1.S1.ERI.S</t>
  </si>
  <si>
    <t>Eritrea, The State of</t>
  </si>
  <si>
    <t>NZL.L.P_F3_P_USD.S1.S1.COD.S</t>
  </si>
  <si>
    <t>Congo, Democratic Republic of the</t>
  </si>
  <si>
    <t>NZL.L.P_F3_P_USD.S1.S1.CZE.S</t>
  </si>
  <si>
    <t>Czech Republic</t>
  </si>
  <si>
    <t>NZL.L.P_F3_P_USD.S1.S1.BLR.S</t>
  </si>
  <si>
    <t>Belarus, Republic of</t>
  </si>
  <si>
    <t>NZL.L.P_F3_P_USD.S1.S1.MNE.S</t>
  </si>
  <si>
    <t>Montenegro</t>
  </si>
  <si>
    <t>NZL.L.P_F3_P_USD.S1.S1.SYC.S</t>
  </si>
  <si>
    <t>Seychelles</t>
  </si>
  <si>
    <t>NZL.L.P_F3_P_USD.S1.S1.RWA.S</t>
  </si>
  <si>
    <t>Rwanda</t>
  </si>
  <si>
    <t>NZL.L.P_F3_P_USD.S1.S1.TUV.S</t>
  </si>
  <si>
    <t>Tuvalu</t>
  </si>
  <si>
    <t>NZL.L.P_F3_P_USD.S1.S1.TZA.S</t>
  </si>
  <si>
    <t>Tanzania, United Republic of</t>
  </si>
  <si>
    <t>NZL.L.P_F3_P_USD.S1.S1.ALB.S</t>
  </si>
  <si>
    <t>Albania</t>
  </si>
  <si>
    <t>NZL.L.P_F3_P_USD.S1.S1.CIV.S</t>
  </si>
  <si>
    <t>Côte d'Ivoire</t>
  </si>
  <si>
    <t>NZL.L.P_F3_P_USD.S1.S1.TUN.S</t>
  </si>
  <si>
    <t>NZL.L.P_F3_P_USD.S1.S1.DMA.S</t>
  </si>
  <si>
    <t>Dominica</t>
  </si>
  <si>
    <t>NZL.L.P_F3_P_USD.S1.S1.NIU.S</t>
  </si>
  <si>
    <t>NZL.L.P_F3_P_USD.S1.S1.SVN.S</t>
  </si>
  <si>
    <t>Slovenia, Republic of</t>
  </si>
  <si>
    <t>NZL.L.P_F3_P_USD.S1.S1.SXM.S</t>
  </si>
  <si>
    <t>Sint Maarten, Kingdom of the Netherlands</t>
  </si>
  <si>
    <t>NZL.L.P_F3_P_USD.S1.S1.GNQ.S</t>
  </si>
  <si>
    <t>Equatorial Guinea, Republic of</t>
  </si>
  <si>
    <t>NZL.L.P_F3_P_USD.S1.S1.BWA.S</t>
  </si>
  <si>
    <t>Botswana</t>
  </si>
  <si>
    <t>NZL.L.P_F3_P_USD.S1.S1.PRK.S</t>
  </si>
  <si>
    <t>Korea, Democratic People's Republic of</t>
  </si>
  <si>
    <t>NZL.L.P_F3_P_USD.S1.S1.MDA.S</t>
  </si>
  <si>
    <t>Moldova, Republic of</t>
  </si>
  <si>
    <t>NZL.L.P_F3_P_USD.S1.S1.MTQ.S</t>
  </si>
  <si>
    <t>Martinique</t>
  </si>
  <si>
    <t>NZL.L.P_F3_P_USD.S1.S1.MLI.S</t>
  </si>
  <si>
    <t>Mali</t>
  </si>
  <si>
    <t>NZL.L.P_F3_P_USD.S1.S1.KWT.S</t>
  </si>
  <si>
    <t>Kuwait</t>
  </si>
  <si>
    <t>NZL.L.P_F3_P_USD.S1.S1.GAB.S</t>
  </si>
  <si>
    <t>Gabon</t>
  </si>
  <si>
    <t>NZL.L.P_F3_P_USD.S1.S1.SWZ.S</t>
  </si>
  <si>
    <t>US (row 351)</t>
  </si>
  <si>
    <t>Eswatini, Kingdom of</t>
  </si>
  <si>
    <t>NZL.L.P_F3_P_USD.S1.S1.SLB.S</t>
  </si>
  <si>
    <t>NZL.L.P_F3_P_USD.S1.S1.SRB.S</t>
  </si>
  <si>
    <t>Serbia, Republic of</t>
  </si>
  <si>
    <t>NZL.L.P_F3_P_USD.S1.S1.MMR.S</t>
  </si>
  <si>
    <t>NZL.L.P_F3_P_USD.S1.S1.GIB.S</t>
  </si>
  <si>
    <t>NZL.L.P_F3_P_USD.S1.S1.REU.S</t>
  </si>
  <si>
    <t>Réunion</t>
  </si>
  <si>
    <t>NZL.L.P_F3_P_USD.S1.S1.DZA.S</t>
  </si>
  <si>
    <t>Algeria</t>
  </si>
  <si>
    <t>NZL.L.P_F3_P_USD.S1.S1.WSM.S</t>
  </si>
  <si>
    <t>NZL.L.P_F3_P_USD.S1.S1.SSD.S</t>
  </si>
  <si>
    <t>South Sudan, Republic of</t>
  </si>
  <si>
    <t>NZL.L.P_F3_P_USD.S1.S1.HRV.S</t>
  </si>
  <si>
    <t>NZL.L.P_F3_P_USD.S1.S1.HUN.S</t>
  </si>
  <si>
    <t>NZL.L.P_F3_P_USD.S1.S1.KOS.S</t>
  </si>
  <si>
    <t>Kosovo, Republic of</t>
  </si>
  <si>
    <t>NZL.L.P_F3_P_USD.S1.S1.TKM.S</t>
  </si>
  <si>
    <t>Turkmenistan</t>
  </si>
  <si>
    <t>NZL.L.P_F3_P_USD.S1.S1.POL.S</t>
  </si>
  <si>
    <t>NZL.L.P_F3_P_USD.S1.S1.CCK.S</t>
  </si>
  <si>
    <t>Cocos Islands</t>
  </si>
  <si>
    <t>NZL.L.P_F3_P_USD.S1.S1.SVK.S</t>
  </si>
  <si>
    <t>NZL.L.P_F3_P_USD.S1.S1.RUS.S</t>
  </si>
  <si>
    <t>NZL.L.P_F3_P_USD.S1.S1.MNG.S</t>
  </si>
  <si>
    <t>Mongolia</t>
  </si>
  <si>
    <t>NZL.L.P_F3_P_USD.S1.S1.GEO.S</t>
  </si>
  <si>
    <t>Georgia</t>
  </si>
  <si>
    <t>NZL.L.P_F3_P_USD.S1.S1.ROU.S</t>
  </si>
  <si>
    <t>Romania</t>
  </si>
  <si>
    <t>NZL.L.P_F3_P_USD.S1.S1.BIH.S</t>
  </si>
  <si>
    <t>NZL.L.P_F3_P_USD.S1.S1.ASM.S</t>
  </si>
  <si>
    <t>NZL.L.P_F3_P_USD.S1.S1.LVA.S</t>
  </si>
  <si>
    <t>Latvia, Republic of</t>
  </si>
  <si>
    <t>NZL.L.P_F3_L_P_USD.S1.S1.LBN.S</t>
  </si>
  <si>
    <t>NZL.L.P_F3_L_P_USD.S1.S1.EST.S</t>
  </si>
  <si>
    <t>Estonia, Republic of</t>
  </si>
  <si>
    <t>NZL.L.P_F3_L_P_SCC_USD.S1.S1.VUT.S</t>
  </si>
  <si>
    <t>Portfolio investment, Debt securities, Long-term, Positions, Derived using counterparty information</t>
  </si>
  <si>
    <t>Vanuatu</t>
  </si>
  <si>
    <t>NZL.L.P_F3_L_P_SCC_USD.S1.S1.ANT.S</t>
  </si>
  <si>
    <t>NZL.L.P_F3_L_P_SCC_USD.S1.S1.KWT.S</t>
  </si>
  <si>
    <t>NZL.L.P_F3_L_P_SCC_USD.S1.S1.BHR.S</t>
  </si>
  <si>
    <t>NZL.L.P_F3_L_P_SCC_USD.S1.S1.VEN.S</t>
  </si>
  <si>
    <t>NZL.L.P_F3_L_P_SCC_USD.S1.S1.WBG.S</t>
  </si>
  <si>
    <t>NZL.L.P_F3_L_P_SCC_USD.S1.S1.IDN.S</t>
  </si>
  <si>
    <t>NZL.L.P_F3_L_P_SCC_USD.S1.S1.CWX.S</t>
  </si>
  <si>
    <t>Curaçao and Sint Maarten</t>
  </si>
  <si>
    <t>NZL.L.P_F3_L_P_SCC_USD.S1.S1.URY.S</t>
  </si>
  <si>
    <t>NZL.L.P_F3_L_P_SCC_USD.S1.S1.EGY.S</t>
  </si>
  <si>
    <t>NZL.L.P_F3_L_P_SCC_USD.S1.S1.GIB.S</t>
  </si>
  <si>
    <t>NZL.L.P_F3_L_P_SCC_USD.S1.S1.BHS.S</t>
  </si>
  <si>
    <t>NZL.L.P_F3_L_P_SCC_USD.S1.S1.NOR.S</t>
  </si>
  <si>
    <t>Norway</t>
  </si>
  <si>
    <t>NZL.L.P_F3_L_P_SCC_USD.S1.S1.IMN.S</t>
  </si>
  <si>
    <t>NZL.L.P_F3_L_P_SCC_USD.S1.S1.BRB.S</t>
  </si>
  <si>
    <t>Barbados</t>
  </si>
  <si>
    <t>NZL.L.P_F3_L_P_SCC_USD.S1.S1.PER.S</t>
  </si>
  <si>
    <t>NZL.L.P_F3_L_P_SCC_USD.S1.S1.RUS.S</t>
  </si>
  <si>
    <t>NZL.L.P_F3_P_SCC_USD.S1.S1.EGY.S</t>
  </si>
  <si>
    <t>Portfolio investment, Debt securities, Positions, Derived using counterparty information</t>
  </si>
  <si>
    <t>NZL.L.P_F3_P_SCC_USD.S1.S1.BGD.S</t>
  </si>
  <si>
    <t>NZL.L.P_F3_P_SCC_USD.S1.S1.VUT.S</t>
  </si>
  <si>
    <t>NZL.L.P_F3_P_SCC_USD.S1.S1.NOR.S</t>
  </si>
  <si>
    <t>NZL.L.P_F3_P_SCC_USD.S1.S1.GIB.S</t>
  </si>
  <si>
    <t>NZL.L.P_F3_P_SCC_USD.S1.S1.KWT.S</t>
  </si>
  <si>
    <t>NZL.L.P_F3_P_SCC_USD.S1.S1.WBG.S</t>
  </si>
  <si>
    <t>NZL.L.P_F3_P_SCC_USD.S1.S1.BHS.S</t>
  </si>
  <si>
    <t>Rest of World</t>
  </si>
  <si>
    <t>NZL.L.P_F3_P_SCC_USD.S1.S1.IDN.S</t>
  </si>
  <si>
    <t>NZL.L.P_F3_P_SCC_USD.S1.S1.VEN.S</t>
  </si>
  <si>
    <t>NZL.L.P_F3_P_SCC_USD.S1.S1.RUS.S</t>
  </si>
  <si>
    <t>NZL.L.P_F3_P_SCC_USD.S1.S1.CWX.S</t>
  </si>
  <si>
    <t>NZL.L.P_F3_P_SCC_USD.S1.S1.BHR.S</t>
  </si>
  <si>
    <t>NZL.L.P_F3_P_SCC_USD.S1.S1.URY.S</t>
  </si>
  <si>
    <t>NZL.L.P_F3_P_SCC_USD.S1.S1.BRB.S</t>
  </si>
  <si>
    <t>NZL.L.P_F3_P_SCC_USD.S1.S1.PER.S</t>
  </si>
  <si>
    <t>NZL.L.P_F3_P_SCC_USD.S1.S1.ANT.S</t>
  </si>
  <si>
    <t>NZL.L.P_F3_P_SCC_USD.S1.S1.IMN.S</t>
  </si>
  <si>
    <t>NZL.L.P_F3_L_P_USD.S1.S1.G001.S</t>
  </si>
  <si>
    <t>World</t>
  </si>
  <si>
    <t>NZL.L.P_F3_L_P_USD.S1.S1.SAU.S</t>
  </si>
  <si>
    <t>Saudi Arabia</t>
  </si>
  <si>
    <t>NZL.L.P_F3_L_P_USD.S1.S1.IRL.S</t>
  </si>
  <si>
    <t>Ireland</t>
  </si>
  <si>
    <t>Share US</t>
  </si>
  <si>
    <t>NZL.L.P_F3_L_P_USD.S1.S1.THA.S</t>
  </si>
  <si>
    <t>Thailand</t>
  </si>
  <si>
    <t>NZL.L.P_F3_L_P_USD.S1.S1.BEL.S</t>
  </si>
  <si>
    <t>Belgium</t>
  </si>
  <si>
    <t>NZL.L.P_F3_L_P_USD.S1.S1.CYM.S</t>
  </si>
  <si>
    <t>Cayman Islands</t>
  </si>
  <si>
    <t>NZL.L.P_F3_L_P_USD.S1.S1.AUT.S</t>
  </si>
  <si>
    <t>Austria</t>
  </si>
  <si>
    <t>NZL.L.P_F3_L_P_USD.S1.S1.GBR.S</t>
  </si>
  <si>
    <t>United Kingdom</t>
  </si>
  <si>
    <t>NZL.L.P_F3_L_P_USD.S1.S1.DNK.S</t>
  </si>
  <si>
    <t>Denmark</t>
  </si>
  <si>
    <t>NZL.L.P_F3_L_P_USD.S1.S1.FRA.S</t>
  </si>
  <si>
    <t>France</t>
  </si>
  <si>
    <t>NZL.L.P_F3_L_P_USD.S1.S1.GGY.S</t>
  </si>
  <si>
    <t>Guernsey</t>
  </si>
  <si>
    <t>NZL.L.P_F3_L_P_USD.S1.S1.CHE.S</t>
  </si>
  <si>
    <t>Switzerland</t>
  </si>
  <si>
    <t>NZL.L.P_F3_L_P_USD.S1.S1.CHN.S</t>
  </si>
  <si>
    <t>China, People's Republic of</t>
  </si>
  <si>
    <t>NZL.L.P_F3_L_P_USD.S1.S1.ARE.S</t>
  </si>
  <si>
    <t>United Arab Emirates</t>
  </si>
  <si>
    <t>NZL.L.P_F3_P_USD.S1.S1.BEL.S</t>
  </si>
  <si>
    <t>NZL.L.P_F3_P_USD.S1.S1.ARE.S</t>
  </si>
  <si>
    <t>NZL.L.P_F3_P_USD.S1.S1.SAU.S</t>
  </si>
  <si>
    <t>Share Rest of World</t>
  </si>
  <si>
    <t>NZL.L.P_F3_P_USD.S1.S1.NLD.S</t>
  </si>
  <si>
    <t>Netherlands, The</t>
  </si>
  <si>
    <t>NZL.L.P_F3_P_USD.S1.S1.HKG.S</t>
  </si>
  <si>
    <t>Hong Kong Special Administrative Region, People's Republic of China</t>
  </si>
  <si>
    <t>NZL.L.P_F3_L_P_USD.S1.S1.NLD.S</t>
  </si>
  <si>
    <t>NZL.L.P_F3_P_USD.S1.S1.THA.S</t>
  </si>
  <si>
    <t>NZL.L.P_F3_P_USD.S1.S1.G001.S</t>
  </si>
  <si>
    <t>NZL.L.P_F3_L_P_USD.S1.S1.PYF.S</t>
  </si>
  <si>
    <t>French Polynesia</t>
  </si>
  <si>
    <t>NZL.L.P_F3_L_P_USD.S1.S1.KOR.S</t>
  </si>
  <si>
    <t>Korea, Republic of</t>
  </si>
  <si>
    <t>NZL.L.P_F3_L_P_USD.S1.S1.HKG.S</t>
  </si>
  <si>
    <t>NZL.L.P_F3_L_P_USD.S1.S1.TWN.S</t>
  </si>
  <si>
    <t>Taiwan Province of China</t>
  </si>
  <si>
    <t>NZL.L.P_F3_L_P_USD.S1.S1.BRB.S</t>
  </si>
  <si>
    <t>NZL.L.P_F3_P_USD.S1.S1.GGY.S</t>
  </si>
  <si>
    <t>Share Not Specified (row 383)</t>
  </si>
  <si>
    <t>NZL.L.P_F3_P_USD.S1.S1.LAO.S</t>
  </si>
  <si>
    <t>Lao People's Democratic Republic</t>
  </si>
  <si>
    <t>NZL.L.P_F3_P_USD.S1.S1.CHE.S</t>
  </si>
  <si>
    <t>NZL.L.P_F3_P_USD.S1.S1.ZAF.S</t>
  </si>
  <si>
    <t>South Africa</t>
  </si>
  <si>
    <t>NZL.L.P_F3_L_P_USD.S1.S1.ITA.S</t>
  </si>
  <si>
    <t>Italy</t>
  </si>
  <si>
    <t>NZL.L.P_F3_P_USD.S1.S1.TWN.S</t>
  </si>
  <si>
    <t>NZL.L.P_F3_P_USD.S1.S1.KOR.S</t>
  </si>
  <si>
    <t>NZL.L.P_F3_L_P_USD.S1.S1.PHL.S</t>
  </si>
  <si>
    <t>Philippines</t>
  </si>
  <si>
    <t>NZL.L.P_F3_L_P_USD.S1.S1.VUT.S</t>
  </si>
  <si>
    <t>NZL.L.P_F3_P_USD.S1.S1.BRB.S</t>
  </si>
  <si>
    <t>NZL.L.P_F3_P_USD.S1.S1.JPN.S</t>
  </si>
  <si>
    <t>Japan</t>
  </si>
  <si>
    <t>NZL.L.P_F3_P_USD.S1.S1.GBR.S</t>
  </si>
  <si>
    <t>NZL.L.P_F3_L_P_USD.S1.S1.JPN.S</t>
  </si>
  <si>
    <t>NZL.L.P_F3_P_USD.S1.S1.ITA.S</t>
  </si>
  <si>
    <t>NZL.L.P_F3_P_USD.S1.S1.IND.S</t>
  </si>
  <si>
    <t>India</t>
  </si>
  <si>
    <t>NZL.L.P_F3_P_USD.S1.S1.SGP.S</t>
  </si>
  <si>
    <t>Singapore</t>
  </si>
  <si>
    <t>NZL.L.P_F3_P_USD.S1.S1.CHN.S</t>
  </si>
  <si>
    <t>NZL.L.P_F3_P_USD.S1.S1.ESP.S</t>
  </si>
  <si>
    <t>Spain</t>
  </si>
  <si>
    <t>NZL.L.P_F3_L_P_USD.S1.S1.MYS.S</t>
  </si>
  <si>
    <t>Malaysia</t>
  </si>
  <si>
    <t>NZL.L.P_F3_P_USD.S1.S1.CYM.S</t>
  </si>
  <si>
    <t>NZL.L.P_F3_P_USD.S1.S1.CAN.S</t>
  </si>
  <si>
    <t>Canada</t>
  </si>
  <si>
    <t>NZL.L.P_F3_L_P_USD.S1.S1.NCL.S</t>
  </si>
  <si>
    <t>New Caledonia</t>
  </si>
  <si>
    <t>NZL.L.P_F3_L_P_USD.S1.S1.NOR.S</t>
  </si>
  <si>
    <t>NZL.L.P_F3_L_P_USD.S1.S1.ESP.S</t>
  </si>
  <si>
    <t>NZL.L.P_F3_L_P_USD.S1.S1.IND.S</t>
  </si>
  <si>
    <t>NZL.L.P_F3_P_USD.S1.S1.USA.S</t>
  </si>
  <si>
    <t>United States</t>
  </si>
  <si>
    <t>NZL.L.P_F3_L_P_USD.S1.S1.DEU.S</t>
  </si>
  <si>
    <t>Germany</t>
  </si>
  <si>
    <t>NZL.L.P_F3_P_USD.S1.S1.LKA.S</t>
  </si>
  <si>
    <t>Sri Lanka</t>
  </si>
  <si>
    <t>NZL.L.P_F3_P_USD.S1.S1.COK.S</t>
  </si>
  <si>
    <t>Cook Islands</t>
  </si>
  <si>
    <t>NZL.L.P_F3_P_USD.S1.S1.DEU.S</t>
  </si>
  <si>
    <t>NZL.L.P_F3_P_USD.S1.S1.NCL.S</t>
  </si>
  <si>
    <t>NZL.L.P_F3_L_P_USD.S1.S1.TX983.S</t>
  </si>
  <si>
    <t>Not Specified (including Confidential)</t>
  </si>
  <si>
    <t>NZL.L.P_F3_P_USD.S1.S1.FJI.S</t>
  </si>
  <si>
    <t>Fiji, Republic of</t>
  </si>
  <si>
    <t>NZL.L.P_F3_P_USD.S1.S1.MYS.S</t>
  </si>
  <si>
    <t>NZL.L.P_F3_L_P_USD.S1.S1.SGP.S</t>
  </si>
  <si>
    <t>NZL.L.P_F3_L_P_USD.S1.S1.BMU.S</t>
  </si>
  <si>
    <t>Bermuda</t>
  </si>
  <si>
    <t>NZL.L.P_F3_L_P_USD.S1.S1.FJI.S</t>
  </si>
  <si>
    <t>NZL.L.P_F3_P_USD.S1.S1.NOR.S</t>
  </si>
  <si>
    <t>NZL.L.P_F3_P_USD.S1.S1.EST.S</t>
  </si>
  <si>
    <t>NZL.L.P_F3_P_USD.S1.S1.PHL.S</t>
  </si>
  <si>
    <t>NZL.L.P_F3_P_USD.S1.S1.AUT.S</t>
  </si>
  <si>
    <t>NZL.L.P_F3_L_P_USD.S1.S1.LAO.S</t>
  </si>
  <si>
    <t>NZL.L.P_F3_P_USD.S1.S1.BMU.S</t>
  </si>
  <si>
    <t>NZL.L.P_F3_L_P_USD.S1.S1.ZAF.S</t>
  </si>
  <si>
    <t>NZL.L.P_F3_P_USD.S1.S1.FRA.S</t>
  </si>
  <si>
    <t>NZL.L.P_F3_L_P_USD.S1.S1.AUS.S</t>
  </si>
  <si>
    <t>Australia</t>
  </si>
  <si>
    <t>NZL.L.P_F3_L_P_USD.S1.S1.LUX.S</t>
  </si>
  <si>
    <t>Luxembourg</t>
  </si>
  <si>
    <t>NZL.L.P_F3_P_USD.S1.S1.PYF.S</t>
  </si>
  <si>
    <t>NZL.L.P_F3_P_USD.S1.S1.IRL.S</t>
  </si>
  <si>
    <t>NZL.L.P_F3_P_USD.S1.S1.LUX.S</t>
  </si>
  <si>
    <t>NZL.L.P_F3_P_USD.S1.S1.DNK.S</t>
  </si>
  <si>
    <t>NZL.L.P_F3_L_P_USD.S1.S1.COK.S</t>
  </si>
  <si>
    <t>NZL.L.P_F3_L_P_USD.S1.S1.CAN.S</t>
  </si>
  <si>
    <t>NZL.L.P_F3_L_P_USD.S1.S1.USA.S</t>
  </si>
  <si>
    <t>DERIVED: Positions, using counterparty information</t>
  </si>
  <si>
    <t>World (row 467)</t>
  </si>
  <si>
    <t>NZL.L.P_F3_L_P_USD.S1.S1.LKA.S</t>
  </si>
  <si>
    <t>NZL.L.P_F3_P_USD.S1.S1.AUS.S</t>
  </si>
  <si>
    <t>NZL.L.P_F3_P_USD.S1.S1.VUT.S</t>
  </si>
  <si>
    <t>NZL.L.P_F3_P_USD.S1.S1.TX983.S</t>
  </si>
  <si>
    <t>NZL.L.P_F3_L_P_SCC_USD.S1.S1.NLD.S</t>
  </si>
  <si>
    <t>NZL.L.P_F3_L_P_SCC_USD.S1.S1.HND.S</t>
  </si>
  <si>
    <t>NZL.L.P_F3_L_P_SCC_USD.S1.S1.SAU.S</t>
  </si>
  <si>
    <t>NZL.L.P_F3_L_P_SCC_USD.S1.S1.POL.S</t>
  </si>
  <si>
    <t>NZL.L.P_F3_L_P_SCC_USD.S1.S1.SWE.S</t>
  </si>
  <si>
    <t>NZL.L.P_F3_L_P_SCC_USD.S1.S1.THA.S</t>
  </si>
  <si>
    <t>NZL.L.P_F3_L_P_SCC_USD.S1.S1.CRI.S</t>
  </si>
  <si>
    <t>NZL.L.P_F3_L_P_SCC_USD.S1.S1.CYP.S</t>
  </si>
  <si>
    <t>NZL.L.P_F3_L_P_SCC_USD.S1.S1.LTU.S</t>
  </si>
  <si>
    <t>NZL.L.P_F3_L_P_SCC_USD.S1.S1.LBN.S</t>
  </si>
  <si>
    <t>NZL.L.P_F3_L_P_SCC_USD.S1.S1.KOS.S</t>
  </si>
  <si>
    <t>NZL.L.P_F3_L_P_SCC_USD.S1.S1.BEL.S</t>
  </si>
  <si>
    <t>NZL.L.P_F3_L_P_SCC_USD.S1.S1.DEU.S</t>
  </si>
  <si>
    <t>NZL.L.P_F3_L_P_SCC_USD.S1.S1.AUS.S</t>
  </si>
  <si>
    <t>NZL.L.P_F3_L_P_SCC_USD.S1.S1.HKG.S</t>
  </si>
  <si>
    <t>NZL.L.P_F3_L_P_SCC_USD.S1.S1.GRC.S</t>
  </si>
  <si>
    <t>NZL.L.P_F3_L_P_SCC_USD.S1.S1.SLV.S</t>
  </si>
  <si>
    <t>NZL.L.P_F3_L_P_SCC_USD.S1.S1.MYS.S</t>
  </si>
  <si>
    <t>NZL.L.P_F3_L_P_SCC_USD.S1.S1.CYM.S</t>
  </si>
  <si>
    <t>NZL.L.P_F3_L_P_SCC_USD.S1.S1.ISR.S</t>
  </si>
  <si>
    <t>NZL.L.P_F3_L_P_SCC_USD.S1.S1.PAN.S</t>
  </si>
  <si>
    <t>NZL.L.P_F3_L_P_SCC_USD.S1.S1.MLT.S</t>
  </si>
  <si>
    <t>NZL.L.P_F3_L_P_SCC_USD.S1.S1.BMU.S</t>
  </si>
  <si>
    <t>NZL.L.P_F3_L_P_SCC_USD.S1.S1.IRL.S</t>
  </si>
  <si>
    <t>NZL.L.P_F3_L_P_SCC_USD.S1.S1.BRA.S</t>
  </si>
  <si>
    <t>NZL.L.P_F3_L_P_SCC_USD.S1.S1.ESP.S</t>
  </si>
  <si>
    <t>NZL.L.P_F3_L_P_SCC_USD.S1.S1.FIN.S</t>
  </si>
  <si>
    <t>NZL.L.P_F3_L_P_SCC_USD.S1.S1.ITA.S</t>
  </si>
  <si>
    <t>NZL.L.P_F3_P_SCC_USD.S1.S1.LBN.S</t>
  </si>
  <si>
    <t>US (row 468)</t>
  </si>
  <si>
    <t>NZL.L.P_F3_P_SCC_USD.S1.S1.THA.S</t>
  </si>
  <si>
    <t>NZL.L.P_F3_L_P_SCC_USD.S1.S1.MEX.S</t>
  </si>
  <si>
    <t>NZL.L.P_F3_P_SCC_USD.S1.S1.IRL.S</t>
  </si>
  <si>
    <t>NZL.L.P_F3_P_SCC_USD.S1.S1.NLD.S</t>
  </si>
  <si>
    <t>NZL.L.P_F3_L_P_SCC_USD.S1.S1.CZE.S</t>
  </si>
  <si>
    <t>NZL.L.P_F3_P_SCC_USD.S1.S1.CYP.S</t>
  </si>
  <si>
    <t>NZL.L.P_F3_P_SCC_USD.S1.S1.SAU.S</t>
  </si>
  <si>
    <t>NZL.L.P_F3_P_SCC_USD.S1.S1.SLV.S</t>
  </si>
  <si>
    <t>NZL.L.P_F3_P_SCC_USD.S1.S1.CRI.S</t>
  </si>
  <si>
    <t>NZL.L.P_F3_P_SCC_USD.S1.S1.BMU.S</t>
  </si>
  <si>
    <t>NZL.L.P_F3_L_P_SCC_USD.S1.S1.G001.S</t>
  </si>
  <si>
    <t>NZL.L.P_F3_P_SCC_USD.S1.S1.ABW.S</t>
  </si>
  <si>
    <t>NZL.L.P_F3_P_SCC_USD.S1.S1.FIN.S</t>
  </si>
  <si>
    <t>NZL.L.P_F3_P_SCC_USD.S1.S1.CHN.S</t>
  </si>
  <si>
    <t>NZL.L.P_F3_P_SCC_USD.S1.S1.MEX.S</t>
  </si>
  <si>
    <t>NZL.L.P_F3_P_SCC_USD.S1.S1.AUS.S</t>
  </si>
  <si>
    <t>NZL.L.P_F3_P_SCC_USD.S1.S1.HND.S</t>
  </si>
  <si>
    <t>NZL.L.P_F3_P_SCC_USD.S1.S1.HKG.S</t>
  </si>
  <si>
    <t>NZL.L.P_F3_P_SCC_USD.S1.S1.SVK.S</t>
  </si>
  <si>
    <t>NZL.L.P_F3_P_SCC_USD.S1.S1.JPN.S</t>
  </si>
  <si>
    <t>NZL.L.P_F3_P_SCC_USD.S1.S1.PRT.S</t>
  </si>
  <si>
    <t>NZL.L.P_F3_P_SCC_USD.S1.S1.BLR.S</t>
  </si>
  <si>
    <t>NZL.L.P_F3_P_SCC_USD.S1.S1.MYS.S</t>
  </si>
  <si>
    <t>NZL.L.P_F3_P_SCC_USD.S1.S1.MAC.S</t>
  </si>
  <si>
    <t>NZL.L.P_F3_P_SCC_USD.S1.S1.NAM.S</t>
  </si>
  <si>
    <t>NZL.L.P_F3_P_SCC_USD.S1.S1.CYM.S</t>
  </si>
  <si>
    <t>NZL.L.P_F3_L_P_SCC_USD.S1.S1.MAC.S</t>
  </si>
  <si>
    <t>NZL.L.P_F3_L_P_SCC_USD.S1.S1.ABW.S</t>
  </si>
  <si>
    <t>NZL.L.P_F3_P_SCC_USD.S1.S1.MLT.S</t>
  </si>
  <si>
    <t>NZL.L.P_F3_P_SCC_USD.S1.S1.GRC.S</t>
  </si>
  <si>
    <t>NZL.L.P_F3_P_SCC_USD.S1.S1.SWE.S</t>
  </si>
  <si>
    <t>NZL.L.P_F3_P_SCC_USD.S1.S1.BEL.S</t>
  </si>
  <si>
    <t>NZL.L.P_F3_L_P_SCC_USD.S1.S1.PRT.S</t>
  </si>
  <si>
    <t>NZL.L.P_F3_L_P_SCC_USD.S1.S1.CHL.S</t>
  </si>
  <si>
    <t>NZL.L.P_F3_L_P_SCC_USD.S1.S1.FRA.S</t>
  </si>
  <si>
    <t>NZL.L.P_F3_L_P_SCC_USD.S1.S1.HUN.S</t>
  </si>
  <si>
    <t>NZL.L.P_F3_P_SCC_USD.S1.S1.DEU.S</t>
  </si>
  <si>
    <t>NZL.L.P_F3_P_SCC_USD.S1.S1.ESP.S</t>
  </si>
  <si>
    <t>NZL.L.P_F3_L_P_SCC_USD.S1.S1.MNG.S</t>
  </si>
  <si>
    <t>NZL.L.P_F3_P_SCC_USD.S1.S1.SGP.S</t>
  </si>
  <si>
    <t>NZL.L.P_F3_P_SCC_USD.S1.S1.ITA.S</t>
  </si>
  <si>
    <t>NZL.L.P_F3_P_SCC_USD.S1.S1.JEY.S</t>
  </si>
  <si>
    <t>NZL.L.P_F3_P_SCC_USD.S1.S1.PHL.S</t>
  </si>
  <si>
    <t>NZL.L.P_F3_L_P_SCC_USD.S1.S1.LUX.S</t>
  </si>
  <si>
    <t>NZL.L.P_F3_L_P_SCC_USD.S1.S1.DNK.S</t>
  </si>
  <si>
    <t>NZL.L.P_F3_L_P_SCC_USD.S1.S1.AUT.S</t>
  </si>
  <si>
    <t>NZL.L.P_F3_L_P_SCC_USD.S1.S1.CAN.S</t>
  </si>
  <si>
    <t>NZL.L.P_F3_P_SCC_USD.S1.S1.IND.S</t>
  </si>
  <si>
    <t>NZL.L.P_F3_L_P_SCC_USD.S1.S1.TX093.S</t>
  </si>
  <si>
    <t>SEFER + SSIO</t>
  </si>
  <si>
    <t>NZL.L.P_F3_P_SCC_USD.S1.S1.LUX.S</t>
  </si>
  <si>
    <t>NZL.L.P_F3_P_SCC_USD.S1.S1.PAN.S</t>
  </si>
  <si>
    <t>NZL.L.P_F3_L_P_SCC_USD.S1.S1.SVN.S</t>
  </si>
  <si>
    <t>NZL.L.P_F3_L_P_SCC_USD.S1.S1.LVA.S</t>
  </si>
  <si>
    <t>NZL.L.P_F3_P_SCC_USD.S1.S1.FRA.S</t>
  </si>
  <si>
    <t>NZL.L.P_F3_P_SCC_USD.S1.S1.G001.S</t>
  </si>
  <si>
    <t>NZL.L.P_F3_P_SCC_USD.S1.S1.USA.S</t>
  </si>
  <si>
    <t xml:space="preserve">New Zealand Announced Debt </t>
  </si>
  <si>
    <t>NZL.L.P_F3_L_P_SCC_USD.S1.S1.ARG.S</t>
  </si>
  <si>
    <t>NZL.L.P_F3_P_SCC_USD.S1.S1.BGR.S</t>
  </si>
  <si>
    <t>NZL.L.P_F3_P_SCC_USD.S1.S1.BRA.S</t>
  </si>
  <si>
    <t>NZL.L.P_F3_P_SCC_USD.S1.S1.TUR.S</t>
  </si>
  <si>
    <t>NZL.L.P_F3_P_SCC_USD.S1.S1.KOR.S</t>
  </si>
  <si>
    <t>NZL.L.P_F3_L_P_SCC_USD.S1.S1.EST.S</t>
  </si>
  <si>
    <t>NZL.L.P_F3_L_P_SCC_USD.S1.S1.PHL.S</t>
  </si>
  <si>
    <t>NZL.L.P_F3_L_P_SCC_USD.S1.S1.TUR.S</t>
  </si>
  <si>
    <t>US Treasuary Announced Debt to IMF (Backup is New Zealand guess)</t>
  </si>
  <si>
    <t>NZL.L.P_F3_L_P_SCC_USD.S1.S1.USA.S</t>
  </si>
  <si>
    <t>NZL.L.P_F3_L_P_SCC_USD.S1.S1.NAM.S</t>
  </si>
  <si>
    <t>NZL.L.P_F3_L_P_SCC_USD.S1.S1.ROU.S</t>
  </si>
  <si>
    <t>NZL.L.P_F3_L_P_SCC_USD.S1.S1.GBR.S</t>
  </si>
  <si>
    <t>NZL.L.P_F3_L_P_SCC_USD.S1.S1.ZAF.S</t>
  </si>
  <si>
    <t>NZL.L.P_F3_L_P_SCC_USD.S1.S1.JPN.S</t>
  </si>
  <si>
    <t>NZL.L.P_F3_L_P_SCC_USD.S1.S1.CHE.S</t>
  </si>
  <si>
    <t xml:space="preserve">Percentage US </t>
  </si>
  <si>
    <t>NZL.L.P_F3_L_P_SCC_USD.S1.S1.SVK.S</t>
  </si>
  <si>
    <t>NZL.L.P_F3_L_P_SCC_USD.S1.S1.GGY.S</t>
  </si>
  <si>
    <t>NZL.L.P_F3_L_P_SCC_USD.S1.S1.BLR.S</t>
  </si>
  <si>
    <t>NZL.L.P_F3_L_P_SCC_USD.S1.S1.MUS.S</t>
  </si>
  <si>
    <t>NZL.L.P_F3_L_P_SCC_USD.S1.S1.ISL.S</t>
  </si>
  <si>
    <t>NZL.L.P_F3_L_P_SCC_USD.S1.S1.CHN.S</t>
  </si>
  <si>
    <t>NZL.L.P_F3_L_P_SCC_USD.S1.S1.COL.S</t>
  </si>
  <si>
    <t>Percentage World</t>
  </si>
  <si>
    <t>NZL.L.P_F3_L_P_SCC_USD.S1.S1.JEY.S</t>
  </si>
  <si>
    <t>NZL.L.P_F3_L_P_SCC_USD.S1.S1.BGR.S</t>
  </si>
  <si>
    <t>NZL.L.P_F3_P_SCC_USD.S1.S1.CZE.S</t>
  </si>
  <si>
    <t>NZL.L.P_F3_P_SCC_USD.S1.S1.POL.S</t>
  </si>
  <si>
    <t>NZL.L.P_F3_P_SCC_USD.S1.S1.ISR.S</t>
  </si>
  <si>
    <t>NZL.L.P_F3_P_SCC_USD.S1.S1.HUN.S</t>
  </si>
  <si>
    <t>NZL.L.P_F3_P_SCC_USD.S1.S1.KAZ.S</t>
  </si>
  <si>
    <t>NZL.L.P_F3_P_SCC_USD.S1.S1.KOS.S</t>
  </si>
  <si>
    <t>NZL.L.P_F3_P_SCC_USD.S1.S1.LTU.S</t>
  </si>
  <si>
    <t>RATIONALE</t>
  </si>
  <si>
    <t>NZL.L.P_F3_P_SCC_USD.S1.S1.EST.S</t>
  </si>
  <si>
    <t>NZL.L.P_F3_P_SCC_USD.S1.S1.SVN.S</t>
  </si>
  <si>
    <t>NZL.L.P_F3_P_SCC_USD.S1.S1.CAN.S</t>
  </si>
  <si>
    <t>NZL.L.P_F3_P_SCC_USD.S1.S1.LVA.S</t>
  </si>
  <si>
    <t>NZL.L.P_F3_P_SCC_USD.S1.S1.DNK.S</t>
  </si>
  <si>
    <t>NZL.L.P_F3_P_SCC_USD.S1.S1.TX093.S</t>
  </si>
  <si>
    <t>NZL.L.P_F3_P_SCC_USD.S1.S1.MNG.S</t>
  </si>
  <si>
    <t>NZL.L.P_F3_P_SCC_USD.S1.S1.ISL.S</t>
  </si>
  <si>
    <t>NZL.L.P_F3_P_SCC_USD.S1.S1.CHL.S</t>
  </si>
  <si>
    <t>NZL.L.P_F3_P_SCC_USD.S1.S1.COL.S</t>
  </si>
  <si>
    <t>NZL.L.P_F3_P_SCC_USD.S1.S1.GBR.S</t>
  </si>
  <si>
    <t>NZL.L.P_F3_P_SCC_USD.S1.S1.ROU.S</t>
  </si>
  <si>
    <t>NZL.L.P_F3_P_SCC_USD.S1.S1.MUS.S</t>
  </si>
  <si>
    <t>NZL.L.P_F3_P_SCC_USD.S1.S1.MKD.S</t>
  </si>
  <si>
    <t>NZL.L.P_F3_L_P_SCC_USD.S1.S1.KAZ.S</t>
  </si>
  <si>
    <t>NZL.L.P_F3_P_SCC_USD.S1.S1.ARG.S</t>
  </si>
  <si>
    <t>NZL.L.P_F3_L_P_SCC_USD.S1.S1.MKD.S</t>
  </si>
  <si>
    <t>NZL.L.P_F3_P_SCC_USD.S1.S1.CHE.S</t>
  </si>
  <si>
    <t>NZL.L.P_F3_P_SCC_USD.S1.S1.ZAF.S</t>
  </si>
  <si>
    <t>NZL.L.P_F3_P_SCC_USD.S1.S1.GGY.S</t>
  </si>
  <si>
    <t>NZL.L.P_F3_L_P_SCC_USD.S1.S1.SGP.S</t>
  </si>
  <si>
    <t>NZL.L.P_F3_L_P_SCC_USD.S1.S1.KOR.S</t>
  </si>
  <si>
    <t>NZL.L.P_F3_L_P_SCC_USD.S1.S1.IND.S</t>
  </si>
  <si>
    <t>NZL.L.P_F3_P_SCC_USD.S1.S1.AUT.S</t>
  </si>
  <si>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</sst>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0.0%"/>
  </numFmts>
  <fonts count="9">
    <font>
      <sz val="11.0"/>
      <color theme="1"/>
      <name val="Calibri"/>
      <scheme val="minor"/>
    </font>
    <font>
      <color theme="1"/>
      <name val="Calibri"/>
      <scheme val="minor"/>
    </font>
    <font>
      <b/>
      <sz val="10.0"/>
      <color rgb="FFFFFFFF"/>
      <name val="Arial"/>
    </font>
    <font>
      <sz val="10.0"/>
      <color theme="1"/>
      <name val="Arial"/>
    </font>
    <font>
      <sz val="10.0"/>
      <color rgb="FF0000FF"/>
      <name val="Arial"/>
    </font>
    <font>
      <b/>
      <sz val="11.0"/>
      <color theme="1"/>
      <name val="Cambria"/>
    </font>
    <font>
      <sz val="11.0"/>
      <color theme="1"/>
      <name val="Calibri"/>
    </font>
    <font>
      <b/>
      <i/>
      <sz val="11.0"/>
      <color theme="1"/>
      <name val="Cambria"/>
    </font>
    <font>
      <b/>
      <sz val="11.0"/>
      <color theme="1"/>
      <name val="Calibri"/>
    </font>
  </fonts>
  <fills count="3">
    <fill>
      <patternFill patternType="none"/>
    </fill>
    <fill>
      <patternFill patternType="lightGray"/>
    </fill>
    <fill>
      <patternFill patternType="solid">
        <fgColor rgb="FF1F2D3D"/>
        <bgColor rgb="FF1F2D3D"/>
      </patternFill>
    </fill>
  </fills>
  <borders count="2">
    <border/>
    <border>
      <left/>
      <right/>
      <top/>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Border="1" applyFill="1" applyFont="1"/>
    <xf borderId="0" fillId="0" fontId="1" numFmtId="164" xfId="0" applyFont="1" applyNumberFormat="1"/>
    <xf borderId="0" fillId="0" fontId="3" numFmtId="0" xfId="0" applyFont="1"/>
    <xf borderId="0" fillId="0" fontId="4" numFmtId="0" xfId="0" applyFont="1"/>
    <xf borderId="0" fillId="0" fontId="1" numFmtId="10" xfId="0" applyFont="1" applyNumberFormat="1"/>
    <xf borderId="0" fillId="0" fontId="1" numFmtId="9" xfId="0" applyFont="1" applyNumberFormat="1"/>
    <xf borderId="0" fillId="0" fontId="2" numFmtId="0" xfId="0" applyFont="1"/>
    <xf borderId="0" fillId="0" fontId="5" numFmtId="0" xfId="0" applyFont="1"/>
    <xf borderId="0" fillId="0" fontId="1" numFmtId="0" xfId="0" applyFont="1"/>
    <xf borderId="0" fillId="0" fontId="6" numFmtId="3" xfId="0" applyFont="1" applyNumberFormat="1"/>
    <xf borderId="0" fillId="0" fontId="3" numFmtId="3" xfId="0" applyFont="1" applyNumberFormat="1"/>
    <xf borderId="0" fillId="0" fontId="6" numFmtId="165" xfId="0" applyFont="1" applyNumberFormat="1"/>
    <xf borderId="0" fillId="0" fontId="3" numFmtId="165" xfId="0" applyFont="1" applyNumberFormat="1"/>
    <xf borderId="0" fillId="0" fontId="7" numFmtId="0" xfId="0" applyFont="1"/>
    <xf borderId="0" fillId="0" fontId="3" numFmtId="9" xfId="0" applyFont="1" applyNumberFormat="1"/>
    <xf borderId="0" fillId="0" fontId="8" numFmtId="0" xfId="0" applyFont="1"/>
    <xf borderId="0" fillId="0" fontId="6" numFmtId="9" xfId="0" applyFont="1" applyNumberFormat="1"/>
    <xf borderId="0" fillId="0" fontId="3"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Calibri"/>
              </a:defRPr>
            </a:pPr>
            <a:r>
              <a:rPr b="0" i="0" sz="1400">
                <a:solidFill>
                  <a:srgbClr val="757575"/>
                </a:solidFill>
                <a:latin typeface="Calibri"/>
              </a:rPr>
              <a:t>Rest of World vs US Holdings of New Zealand Debt</a:t>
            </a:r>
          </a:p>
        </c:rich>
      </c:tx>
      <c:overlay val="0"/>
    </c:title>
    <c:plotArea>
      <c:layout/>
      <c:lineChart>
        <c:ser>
          <c:idx val="0"/>
          <c:order val="0"/>
          <c:tx>
            <c:v>Series1</c:v>
          </c:tx>
          <c:spPr>
            <a:ln cmpd="sng" w="28575">
              <a:solidFill>
                <a:schemeClr val="accent1"/>
              </a:solidFill>
            </a:ln>
          </c:spPr>
          <c:marker>
            <c:symbol val="none"/>
          </c:marker>
          <c:cat>
            <c:strRef>
              <c:f>'Calcs and Graphs'!$B$1:$BG$1</c:f>
            </c:strRef>
          </c:cat>
          <c:val>
            <c:numRef>
              <c:f>'Calcs and Graphs'!$B$19:$BG$19</c:f>
              <c:numCache/>
            </c:numRef>
          </c:val>
          <c:smooth val="0"/>
        </c:ser>
        <c:ser>
          <c:idx val="1"/>
          <c:order val="1"/>
          <c:tx>
            <c:v>Series2</c:v>
          </c:tx>
          <c:spPr>
            <a:ln cmpd="sng" w="28575">
              <a:solidFill>
                <a:schemeClr val="accent2"/>
              </a:solidFill>
            </a:ln>
          </c:spPr>
          <c:marker>
            <c:symbol val="none"/>
          </c:marker>
          <c:cat>
            <c:strRef>
              <c:f>'Calcs and Graphs'!$B$1:$BG$1</c:f>
            </c:strRef>
          </c:cat>
          <c:val>
            <c:numRef>
              <c:f>'Calcs and Graphs'!$B$20:$BG$20</c:f>
              <c:numCache/>
            </c:numRef>
          </c:val>
          <c:smooth val="0"/>
        </c:ser>
        <c:axId val="1132039970"/>
        <c:axId val="137002807"/>
      </c:lineChart>
      <c:catAx>
        <c:axId val="11320399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000000"/>
                </a:solidFill>
                <a:latin typeface="Calibri"/>
              </a:defRPr>
            </a:pPr>
          </a:p>
        </c:txPr>
        <c:crossAx val="137002807"/>
      </c:catAx>
      <c:valAx>
        <c:axId val="13700280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Calibri"/>
              </a:defRPr>
            </a:pPr>
          </a:p>
        </c:txPr>
        <c:crossAx val="1132039970"/>
      </c:valAx>
    </c:plotArea>
    <c:legend>
      <c:legendPos val="b"/>
      <c:overlay val="0"/>
      <c:txPr>
        <a:bodyPr/>
        <a:lstStyle/>
        <a:p>
          <a:pPr lvl="0">
            <a:defRPr b="0" i="0" sz="900">
              <a:solidFill>
                <a:srgbClr val="1A1A1A"/>
              </a:solidFill>
              <a:latin typeface="Calibri"/>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752475</xdr:colOff>
      <xdr:row>20</xdr:row>
      <xdr:rowOff>171450</xdr:rowOff>
    </xdr:from>
    <xdr:ext cx="6534150" cy="3629025"/>
    <xdr:graphicFrame>
      <xdr:nvGraphicFramePr>
        <xdr:cNvPr id="854651765"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22</xdr:row>
      <xdr:rowOff>0</xdr:rowOff>
    </xdr:from>
    <xdr:ext cx="5781675" cy="1219200"/>
    <xdr:sp>
      <xdr:nvSpPr>
        <xdr:cNvPr id="3" name="Shape 3"/>
        <xdr:cNvSpPr txBox="1"/>
      </xdr:nvSpPr>
      <xdr:spPr>
        <a:xfrm>
          <a:off x="2459925" y="3175163"/>
          <a:ext cx="5772150" cy="12096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Essentially Row 320 is New Zealand reporting it's</a:t>
          </a:r>
          <a:r>
            <a:rPr lang="en-US" sz="1100">
              <a:solidFill>
                <a:schemeClr val="dk1"/>
              </a:solidFill>
              <a:latin typeface="Calibri"/>
              <a:ea typeface="Calibri"/>
              <a:cs typeface="Calibri"/>
              <a:sym typeface="Calibri"/>
            </a:rPr>
            <a:t> total to the IMF of debt holdings. Using a backsolve isn't a great thing because it skews the numbers and has pretty large jumps if we use a backsolve. For US Debt first consider what the US announces because all domestic holders of foreign debt are required to tell the US so the US count should be more accurate then the NZ - &gt; IMF count.</a:t>
          </a:r>
          <a:endParaRPr sz="11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2.0"/>
    <col customWidth="1" min="2" max="12" width="22.0"/>
    <col customWidth="1" min="13" max="70" width="8.71"/>
  </cols>
  <sheetData>
    <row r="1">
      <c r="A1" s="2" t="s">
        <v>1</v>
      </c>
      <c r="B1" s="2" t="s">
        <v>3</v>
      </c>
      <c r="C1" s="2" t="s">
        <v>4</v>
      </c>
      <c r="D1" s="2" t="s">
        <v>5</v>
      </c>
      <c r="E1" s="2" t="s">
        <v>6</v>
      </c>
      <c r="F1" s="2" t="s">
        <v>7</v>
      </c>
      <c r="G1" s="2" t="s">
        <v>8</v>
      </c>
      <c r="H1" s="2" t="s">
        <v>9</v>
      </c>
      <c r="I1" s="2" t="s">
        <v>10</v>
      </c>
      <c r="J1" s="2" t="s">
        <v>11</v>
      </c>
      <c r="K1" s="2" t="s">
        <v>12</v>
      </c>
      <c r="L1" s="2" t="s">
        <v>13</v>
      </c>
      <c r="M1" s="2" t="s">
        <v>14</v>
      </c>
      <c r="N1" s="2" t="s">
        <v>15</v>
      </c>
      <c r="O1" s="2" t="s">
        <v>16</v>
      </c>
      <c r="P1" s="2" t="s">
        <v>17</v>
      </c>
      <c r="Q1" s="2" t="s">
        <v>18</v>
      </c>
      <c r="R1" s="2" t="s">
        <v>19</v>
      </c>
      <c r="S1" s="2" t="s">
        <v>20</v>
      </c>
      <c r="T1" s="2" t="s">
        <v>21</v>
      </c>
      <c r="U1" s="2" t="s">
        <v>22</v>
      </c>
      <c r="V1" s="2" t="s">
        <v>23</v>
      </c>
      <c r="W1" s="2" t="s">
        <v>24</v>
      </c>
      <c r="X1" s="2" t="s">
        <v>25</v>
      </c>
      <c r="Y1" s="2" t="s">
        <v>26</v>
      </c>
      <c r="Z1" s="2" t="s">
        <v>27</v>
      </c>
      <c r="AA1" s="2" t="s">
        <v>28</v>
      </c>
      <c r="AB1" s="2" t="s">
        <v>29</v>
      </c>
      <c r="AC1" s="2" t="s">
        <v>30</v>
      </c>
      <c r="AD1" s="2" t="s">
        <v>31</v>
      </c>
      <c r="AE1" s="2" t="s">
        <v>32</v>
      </c>
      <c r="AF1" s="2" t="s">
        <v>33</v>
      </c>
      <c r="AG1" s="2" t="s">
        <v>34</v>
      </c>
      <c r="AH1" s="2" t="s">
        <v>35</v>
      </c>
      <c r="AI1" s="2" t="s">
        <v>36</v>
      </c>
      <c r="AJ1" s="2" t="s">
        <v>37</v>
      </c>
      <c r="AK1" s="2" t="s">
        <v>38</v>
      </c>
      <c r="AL1" s="2" t="s">
        <v>39</v>
      </c>
      <c r="AM1" s="2" t="s">
        <v>40</v>
      </c>
      <c r="AN1" s="2" t="s">
        <v>41</v>
      </c>
      <c r="AO1" s="2" t="s">
        <v>42</v>
      </c>
      <c r="AP1" s="2" t="s">
        <v>43</v>
      </c>
      <c r="AQ1" s="2" t="s">
        <v>44</v>
      </c>
      <c r="AR1" s="2" t="s">
        <v>45</v>
      </c>
      <c r="AS1" s="2" t="s">
        <v>46</v>
      </c>
      <c r="AT1" s="2" t="s">
        <v>47</v>
      </c>
      <c r="AU1" s="2" t="s">
        <v>48</v>
      </c>
      <c r="AV1" s="2" t="s">
        <v>49</v>
      </c>
      <c r="AW1" s="2" t="s">
        <v>50</v>
      </c>
      <c r="AX1" s="2" t="s">
        <v>51</v>
      </c>
      <c r="AY1" s="2" t="s">
        <v>52</v>
      </c>
      <c r="AZ1" s="2" t="s">
        <v>53</v>
      </c>
      <c r="BA1" s="2" t="s">
        <v>54</v>
      </c>
      <c r="BB1" s="2" t="s">
        <v>55</v>
      </c>
      <c r="BC1" s="2" t="s">
        <v>56</v>
      </c>
      <c r="BD1" s="2" t="s">
        <v>57</v>
      </c>
      <c r="BE1" s="2" t="s">
        <v>58</v>
      </c>
      <c r="BF1" s="2" t="s">
        <v>59</v>
      </c>
      <c r="BG1" s="2" t="s">
        <v>60</v>
      </c>
      <c r="BH1" s="2" t="s">
        <v>61</v>
      </c>
      <c r="BI1" s="2" t="s">
        <v>62</v>
      </c>
      <c r="BJ1" s="2" t="s">
        <v>63</v>
      </c>
      <c r="BK1" s="2" t="s">
        <v>64</v>
      </c>
      <c r="BL1" s="2" t="s">
        <v>65</v>
      </c>
      <c r="BM1" s="2" t="s">
        <v>66</v>
      </c>
      <c r="BN1" s="2" t="s">
        <v>67</v>
      </c>
      <c r="BO1" s="2" t="s">
        <v>68</v>
      </c>
      <c r="BP1" s="2" t="s">
        <v>69</v>
      </c>
      <c r="BQ1" s="2" t="s">
        <v>70</v>
      </c>
      <c r="BR1" s="2" t="s">
        <v>71</v>
      </c>
    </row>
    <row r="2">
      <c r="A2" s="4" t="str">
        <f t="shared" ref="A2:A523" si="1">F2&amp;"|"&amp;G2&amp;"|"&amp;J2&amp;"|"&amp;K2</f>
        <v>Liabilities|Portfolio investment, Debt securities, Long-term, Positions|Mexico|Half-yearly, semester</v>
      </c>
      <c r="B2" s="4" t="s">
        <v>72</v>
      </c>
      <c r="C2" s="4" t="s">
        <v>73</v>
      </c>
      <c r="D2" s="4" t="s">
        <v>74</v>
      </c>
      <c r="E2" s="4" t="s">
        <v>75</v>
      </c>
      <c r="F2" s="4" t="s">
        <v>76</v>
      </c>
      <c r="G2" s="4" t="s">
        <v>77</v>
      </c>
      <c r="H2" s="4" t="s">
        <v>78</v>
      </c>
      <c r="I2" s="4" t="s">
        <v>78</v>
      </c>
      <c r="J2" s="4" t="s">
        <v>79</v>
      </c>
      <c r="K2" s="4" t="s">
        <v>80</v>
      </c>
      <c r="L2" s="4" t="s">
        <v>81</v>
      </c>
      <c r="BA2" s="5">
        <v>0.0380952380952381</v>
      </c>
    </row>
    <row r="3">
      <c r="A3" s="4" t="str">
        <f t="shared" si="1"/>
        <v>Liabilities|Portfolio investment, Debt securities, Long-term, Positions|Finland|Half-yearly, semester</v>
      </c>
      <c r="B3" s="4" t="s">
        <v>72</v>
      </c>
      <c r="C3" s="4" t="s">
        <v>82</v>
      </c>
      <c r="D3" s="4" t="s">
        <v>74</v>
      </c>
      <c r="E3" s="4" t="s">
        <v>75</v>
      </c>
      <c r="F3" s="4" t="s">
        <v>76</v>
      </c>
      <c r="G3" s="4" t="s">
        <v>77</v>
      </c>
      <c r="H3" s="4" t="s">
        <v>78</v>
      </c>
      <c r="I3" s="4" t="s">
        <v>78</v>
      </c>
      <c r="J3" s="4" t="s">
        <v>83</v>
      </c>
      <c r="K3" s="4" t="s">
        <v>80</v>
      </c>
      <c r="L3" s="4" t="s">
        <v>81</v>
      </c>
    </row>
    <row r="4">
      <c r="A4" s="4" t="str">
        <f t="shared" si="1"/>
        <v>Liabilities|Portfolio investment, Debt securities, Long-term, Positions|Qatar|Half-yearly, semester</v>
      </c>
      <c r="B4" s="4" t="s">
        <v>72</v>
      </c>
      <c r="C4" s="4" t="s">
        <v>84</v>
      </c>
      <c r="D4" s="4" t="s">
        <v>74</v>
      </c>
      <c r="E4" s="4" t="s">
        <v>75</v>
      </c>
      <c r="F4" s="4" t="s">
        <v>76</v>
      </c>
      <c r="G4" s="4" t="s">
        <v>77</v>
      </c>
      <c r="H4" s="4" t="s">
        <v>78</v>
      </c>
      <c r="I4" s="4" t="s">
        <v>78</v>
      </c>
      <c r="J4" s="4" t="s">
        <v>85</v>
      </c>
      <c r="K4" s="4" t="s">
        <v>80</v>
      </c>
      <c r="L4" s="4" t="s">
        <v>81</v>
      </c>
      <c r="BI4" s="5">
        <v>0.00769769069279216</v>
      </c>
      <c r="BJ4" s="5">
        <v>0.00751520120243219</v>
      </c>
      <c r="BK4" s="5">
        <v>0.00683526999316473</v>
      </c>
      <c r="BL4" s="5">
        <v>0.00696864111498258</v>
      </c>
    </row>
    <row r="5">
      <c r="A5" s="4" t="str">
        <f t="shared" si="1"/>
        <v>Liabilities|Portfolio investment, Debt securities, Long-term, Positions|Liechtenstein, Principality of|Half-yearly, semester</v>
      </c>
      <c r="B5" s="4" t="s">
        <v>72</v>
      </c>
      <c r="C5" s="4" t="s">
        <v>86</v>
      </c>
      <c r="D5" s="4" t="s">
        <v>74</v>
      </c>
      <c r="E5" s="4" t="s">
        <v>75</v>
      </c>
      <c r="F5" s="4" t="s">
        <v>76</v>
      </c>
      <c r="G5" s="4" t="s">
        <v>77</v>
      </c>
      <c r="H5" s="4" t="s">
        <v>78</v>
      </c>
      <c r="I5" s="4" t="s">
        <v>78</v>
      </c>
      <c r="J5" s="4" t="s">
        <v>87</v>
      </c>
      <c r="K5" s="4" t="s">
        <v>80</v>
      </c>
      <c r="L5" s="4" t="s">
        <v>81</v>
      </c>
    </row>
    <row r="6">
      <c r="A6" s="4" t="str">
        <f t="shared" si="1"/>
        <v>Liabilities|Portfolio investment, Debt securities, Long-term, Positions|Turks and Caicos Islands|Half-yearly, semester</v>
      </c>
      <c r="B6" s="4" t="s">
        <v>72</v>
      </c>
      <c r="C6" s="4" t="s">
        <v>88</v>
      </c>
      <c r="D6" s="4" t="s">
        <v>74</v>
      </c>
      <c r="E6" s="4" t="s">
        <v>75</v>
      </c>
      <c r="F6" s="4" t="s">
        <v>76</v>
      </c>
      <c r="G6" s="4" t="s">
        <v>77</v>
      </c>
      <c r="H6" s="4" t="s">
        <v>78</v>
      </c>
      <c r="I6" s="4" t="s">
        <v>78</v>
      </c>
      <c r="J6" s="4" t="s">
        <v>89</v>
      </c>
      <c r="K6" s="4" t="s">
        <v>80</v>
      </c>
      <c r="L6" s="4" t="s">
        <v>81</v>
      </c>
    </row>
    <row r="7">
      <c r="A7" s="4" t="str">
        <f t="shared" si="1"/>
        <v>Liabilities|Portfolio investment, Debt securities, Long-term, Positions|Croatia, Republic of|Half-yearly, semester</v>
      </c>
      <c r="B7" s="4" t="s">
        <v>72</v>
      </c>
      <c r="C7" s="4" t="s">
        <v>90</v>
      </c>
      <c r="D7" s="4" t="s">
        <v>74</v>
      </c>
      <c r="E7" s="4" t="s">
        <v>75</v>
      </c>
      <c r="F7" s="4" t="s">
        <v>76</v>
      </c>
      <c r="G7" s="4" t="s">
        <v>77</v>
      </c>
      <c r="H7" s="4" t="s">
        <v>78</v>
      </c>
      <c r="I7" s="4" t="s">
        <v>78</v>
      </c>
      <c r="J7" s="4" t="s">
        <v>91</v>
      </c>
      <c r="K7" s="4" t="s">
        <v>80</v>
      </c>
      <c r="L7" s="4" t="s">
        <v>81</v>
      </c>
    </row>
    <row r="8">
      <c r="A8" s="4" t="str">
        <f t="shared" si="1"/>
        <v>Liabilities|Portfolio investment, Debt securities, Long-term, Positions|Sweden|Half-yearly, semester</v>
      </c>
      <c r="B8" s="4" t="s">
        <v>72</v>
      </c>
      <c r="C8" s="4" t="s">
        <v>92</v>
      </c>
      <c r="D8" s="4" t="s">
        <v>74</v>
      </c>
      <c r="E8" s="4" t="s">
        <v>75</v>
      </c>
      <c r="F8" s="4" t="s">
        <v>76</v>
      </c>
      <c r="G8" s="4" t="s">
        <v>77</v>
      </c>
      <c r="H8" s="4" t="s">
        <v>78</v>
      </c>
      <c r="I8" s="4" t="s">
        <v>78</v>
      </c>
      <c r="J8" s="4" t="s">
        <v>93</v>
      </c>
      <c r="K8" s="4" t="s">
        <v>80</v>
      </c>
      <c r="L8" s="4" t="s">
        <v>81</v>
      </c>
    </row>
    <row r="9">
      <c r="A9" s="4" t="str">
        <f t="shared" si="1"/>
        <v>Liabilities|Portfolio investment, Debt securities, Long-term, Positions|Gibraltar|Half-yearly, semester</v>
      </c>
      <c r="B9" s="4" t="s">
        <v>72</v>
      </c>
      <c r="C9" s="4" t="s">
        <v>94</v>
      </c>
      <c r="D9" s="4" t="s">
        <v>74</v>
      </c>
      <c r="E9" s="4" t="s">
        <v>75</v>
      </c>
      <c r="F9" s="4" t="s">
        <v>76</v>
      </c>
      <c r="G9" s="4" t="s">
        <v>77</v>
      </c>
      <c r="H9" s="4" t="s">
        <v>78</v>
      </c>
      <c r="I9" s="4" t="s">
        <v>78</v>
      </c>
      <c r="J9" s="4" t="s">
        <v>95</v>
      </c>
      <c r="K9" s="4" t="s">
        <v>80</v>
      </c>
      <c r="L9" s="4" t="s">
        <v>81</v>
      </c>
    </row>
    <row r="10">
      <c r="A10" s="4" t="str">
        <f t="shared" si="1"/>
        <v>Liabilities|Portfolio investment, Debt securities, Long-term, Positions|Libya|Half-yearly, semester</v>
      </c>
      <c r="B10" s="4" t="s">
        <v>72</v>
      </c>
      <c r="C10" s="4" t="s">
        <v>96</v>
      </c>
      <c r="D10" s="4" t="s">
        <v>74</v>
      </c>
      <c r="E10" s="4" t="s">
        <v>75</v>
      </c>
      <c r="F10" s="4" t="s">
        <v>76</v>
      </c>
      <c r="G10" s="4" t="s">
        <v>77</v>
      </c>
      <c r="H10" s="4" t="s">
        <v>78</v>
      </c>
      <c r="I10" s="4" t="s">
        <v>78</v>
      </c>
      <c r="J10" s="4" t="s">
        <v>97</v>
      </c>
      <c r="K10" s="4" t="s">
        <v>80</v>
      </c>
      <c r="L10" s="4" t="s">
        <v>81</v>
      </c>
    </row>
    <row r="11">
      <c r="A11" s="4" t="str">
        <f t="shared" si="1"/>
        <v>Liabilities|Portfolio investment, Debt securities, Long-term, Positions|Naoero, Republic of|Half-yearly, semester</v>
      </c>
      <c r="B11" s="4" t="s">
        <v>72</v>
      </c>
      <c r="C11" s="4" t="s">
        <v>98</v>
      </c>
      <c r="D11" s="4" t="s">
        <v>74</v>
      </c>
      <c r="E11" s="4" t="s">
        <v>75</v>
      </c>
      <c r="F11" s="4" t="s">
        <v>76</v>
      </c>
      <c r="G11" s="4" t="s">
        <v>77</v>
      </c>
      <c r="H11" s="4" t="s">
        <v>78</v>
      </c>
      <c r="I11" s="4" t="s">
        <v>78</v>
      </c>
      <c r="J11" s="4" t="s">
        <v>99</v>
      </c>
      <c r="K11" s="4" t="s">
        <v>80</v>
      </c>
      <c r="L11" s="4" t="s">
        <v>81</v>
      </c>
    </row>
    <row r="12">
      <c r="A12" s="4" t="str">
        <f t="shared" si="1"/>
        <v>Liabilities|Portfolio investment, Debt securities, Long-term, Positions|Zimbabwe|Half-yearly, semester</v>
      </c>
      <c r="B12" s="4" t="s">
        <v>72</v>
      </c>
      <c r="C12" s="4" t="s">
        <v>100</v>
      </c>
      <c r="D12" s="4" t="s">
        <v>74</v>
      </c>
      <c r="E12" s="4" t="s">
        <v>75</v>
      </c>
      <c r="F12" s="4" t="s">
        <v>76</v>
      </c>
      <c r="G12" s="4" t="s">
        <v>77</v>
      </c>
      <c r="H12" s="4" t="s">
        <v>78</v>
      </c>
      <c r="I12" s="4" t="s">
        <v>78</v>
      </c>
      <c r="J12" s="4" t="s">
        <v>101</v>
      </c>
      <c r="K12" s="4" t="s">
        <v>80</v>
      </c>
      <c r="L12" s="4" t="s">
        <v>81</v>
      </c>
    </row>
    <row r="13">
      <c r="A13" s="4" t="str">
        <f t="shared" si="1"/>
        <v>Liabilities|Portfolio investment, Debt securities, Long-term, Positions|Bulgaria|Half-yearly, semester</v>
      </c>
      <c r="B13" s="4" t="s">
        <v>72</v>
      </c>
      <c r="C13" s="4" t="s">
        <v>102</v>
      </c>
      <c r="D13" s="4" t="s">
        <v>74</v>
      </c>
      <c r="E13" s="4" t="s">
        <v>75</v>
      </c>
      <c r="F13" s="4" t="s">
        <v>76</v>
      </c>
      <c r="G13" s="4" t="s">
        <v>77</v>
      </c>
      <c r="H13" s="4" t="s">
        <v>78</v>
      </c>
      <c r="I13" s="4" t="s">
        <v>78</v>
      </c>
      <c r="J13" s="4" t="s">
        <v>103</v>
      </c>
      <c r="K13" s="4" t="s">
        <v>80</v>
      </c>
      <c r="L13" s="4" t="s">
        <v>81</v>
      </c>
    </row>
    <row r="14">
      <c r="A14" s="4" t="str">
        <f t="shared" si="1"/>
        <v>Liabilities|Portfolio investment, Debt securities, Long-term, Positions|Tonga|Half-yearly, semester</v>
      </c>
      <c r="B14" s="4" t="s">
        <v>72</v>
      </c>
      <c r="C14" s="4" t="s">
        <v>104</v>
      </c>
      <c r="D14" s="4" t="s">
        <v>74</v>
      </c>
      <c r="E14" s="4" t="s">
        <v>75</v>
      </c>
      <c r="F14" s="4" t="s">
        <v>76</v>
      </c>
      <c r="G14" s="4" t="s">
        <v>77</v>
      </c>
      <c r="H14" s="4" t="s">
        <v>78</v>
      </c>
      <c r="I14" s="4" t="s">
        <v>78</v>
      </c>
      <c r="J14" s="4" t="s">
        <v>105</v>
      </c>
      <c r="K14" s="4" t="s">
        <v>80</v>
      </c>
      <c r="L14" s="4" t="s">
        <v>81</v>
      </c>
    </row>
    <row r="15">
      <c r="A15" s="4" t="str">
        <f t="shared" si="1"/>
        <v>Liabilities|Portfolio investment, Debt securities, Long-term, Positions|Iceland|Half-yearly, semester</v>
      </c>
      <c r="B15" s="4" t="s">
        <v>72</v>
      </c>
      <c r="C15" s="4" t="s">
        <v>106</v>
      </c>
      <c r="D15" s="4" t="s">
        <v>74</v>
      </c>
      <c r="E15" s="4" t="s">
        <v>75</v>
      </c>
      <c r="F15" s="4" t="s">
        <v>76</v>
      </c>
      <c r="G15" s="4" t="s">
        <v>77</v>
      </c>
      <c r="H15" s="4" t="s">
        <v>78</v>
      </c>
      <c r="I15" s="4" t="s">
        <v>78</v>
      </c>
      <c r="J15" s="4" t="s">
        <v>107</v>
      </c>
      <c r="K15" s="4" t="s">
        <v>80</v>
      </c>
      <c r="L15" s="4" t="s">
        <v>81</v>
      </c>
    </row>
    <row r="16">
      <c r="A16" s="4" t="str">
        <f t="shared" si="1"/>
        <v>Liabilities|Portfolio investment, Debt securities, Long-term, Positions|Greece|Half-yearly, semester</v>
      </c>
      <c r="B16" s="4" t="s">
        <v>72</v>
      </c>
      <c r="C16" s="4" t="s">
        <v>108</v>
      </c>
      <c r="D16" s="4" t="s">
        <v>74</v>
      </c>
      <c r="E16" s="4" t="s">
        <v>75</v>
      </c>
      <c r="F16" s="4" t="s">
        <v>76</v>
      </c>
      <c r="G16" s="4" t="s">
        <v>77</v>
      </c>
      <c r="H16" s="4" t="s">
        <v>78</v>
      </c>
      <c r="I16" s="4" t="s">
        <v>78</v>
      </c>
      <c r="J16" s="4" t="s">
        <v>109</v>
      </c>
      <c r="K16" s="4" t="s">
        <v>80</v>
      </c>
      <c r="L16" s="4" t="s">
        <v>81</v>
      </c>
    </row>
    <row r="17">
      <c r="A17" s="4" t="str">
        <f t="shared" si="1"/>
        <v>Liabilities|Portfolio investment, Debt securities, Long-term, Positions|Russian Federation|Half-yearly, semester</v>
      </c>
      <c r="B17" s="4" t="s">
        <v>72</v>
      </c>
      <c r="C17" s="4" t="s">
        <v>110</v>
      </c>
      <c r="D17" s="4" t="s">
        <v>74</v>
      </c>
      <c r="E17" s="4" t="s">
        <v>75</v>
      </c>
      <c r="F17" s="4" t="s">
        <v>76</v>
      </c>
      <c r="G17" s="4" t="s">
        <v>77</v>
      </c>
      <c r="H17" s="4" t="s">
        <v>78</v>
      </c>
      <c r="I17" s="4" t="s">
        <v>78</v>
      </c>
      <c r="J17" s="4" t="s">
        <v>111</v>
      </c>
      <c r="K17" s="4" t="s">
        <v>80</v>
      </c>
      <c r="L17" s="4" t="s">
        <v>81</v>
      </c>
    </row>
    <row r="18">
      <c r="A18" s="4" t="str">
        <f t="shared" si="1"/>
        <v>Liabilities|Portfolio investment, Debt securities, Long-term, Positions|Nigeria|Half-yearly, semester</v>
      </c>
      <c r="B18" s="4" t="s">
        <v>72</v>
      </c>
      <c r="C18" s="4" t="s">
        <v>112</v>
      </c>
      <c r="D18" s="4" t="s">
        <v>74</v>
      </c>
      <c r="E18" s="4" t="s">
        <v>75</v>
      </c>
      <c r="F18" s="4" t="s">
        <v>76</v>
      </c>
      <c r="G18" s="4" t="s">
        <v>77</v>
      </c>
      <c r="H18" s="4" t="s">
        <v>78</v>
      </c>
      <c r="I18" s="4" t="s">
        <v>78</v>
      </c>
      <c r="J18" s="4" t="s">
        <v>113</v>
      </c>
      <c r="K18" s="4" t="s">
        <v>80</v>
      </c>
      <c r="L18" s="4" t="s">
        <v>81</v>
      </c>
    </row>
    <row r="19">
      <c r="A19" s="4" t="str">
        <f t="shared" si="1"/>
        <v>Liabilities|Portfolio investment, Debt securities, Long-term, Positions|Niue|Half-yearly, semester</v>
      </c>
      <c r="B19" s="4" t="s">
        <v>72</v>
      </c>
      <c r="C19" s="4" t="s">
        <v>114</v>
      </c>
      <c r="D19" s="4" t="s">
        <v>74</v>
      </c>
      <c r="E19" s="4" t="s">
        <v>75</v>
      </c>
      <c r="F19" s="4" t="s">
        <v>76</v>
      </c>
      <c r="G19" s="4" t="s">
        <v>77</v>
      </c>
      <c r="H19" s="4" t="s">
        <v>78</v>
      </c>
      <c r="I19" s="4" t="s">
        <v>78</v>
      </c>
      <c r="J19" s="4" t="s">
        <v>115</v>
      </c>
      <c r="K19" s="4" t="s">
        <v>80</v>
      </c>
      <c r="L19" s="4" t="s">
        <v>81</v>
      </c>
    </row>
    <row r="20">
      <c r="A20" s="4" t="str">
        <f t="shared" si="1"/>
        <v>Liabilities|Portfolio investment, Debt securities, Long-term, Positions|Falkland Islands (Malvinas)|Half-yearly, semester</v>
      </c>
      <c r="B20" s="4" t="s">
        <v>72</v>
      </c>
      <c r="C20" s="4" t="s">
        <v>116</v>
      </c>
      <c r="D20" s="4" t="s">
        <v>74</v>
      </c>
      <c r="E20" s="4" t="s">
        <v>75</v>
      </c>
      <c r="F20" s="4" t="s">
        <v>76</v>
      </c>
      <c r="G20" s="4" t="s">
        <v>77</v>
      </c>
      <c r="H20" s="4" t="s">
        <v>78</v>
      </c>
      <c r="I20" s="4" t="s">
        <v>78</v>
      </c>
      <c r="J20" s="4" t="s">
        <v>117</v>
      </c>
      <c r="K20" s="4" t="s">
        <v>80</v>
      </c>
      <c r="L20" s="4" t="s">
        <v>81</v>
      </c>
    </row>
    <row r="21" ht="15.75" customHeight="1">
      <c r="A21" s="4" t="str">
        <f t="shared" si="1"/>
        <v>Liabilities|Portfolio investment, Debt securities, Long-term, Positions|Indonesia|Half-yearly, semester</v>
      </c>
      <c r="B21" s="4" t="s">
        <v>72</v>
      </c>
      <c r="C21" s="4" t="s">
        <v>118</v>
      </c>
      <c r="D21" s="4" t="s">
        <v>74</v>
      </c>
      <c r="E21" s="4" t="s">
        <v>75</v>
      </c>
      <c r="F21" s="4" t="s">
        <v>76</v>
      </c>
      <c r="G21" s="4" t="s">
        <v>77</v>
      </c>
      <c r="H21" s="4" t="s">
        <v>78</v>
      </c>
      <c r="I21" s="4" t="s">
        <v>78</v>
      </c>
      <c r="J21" s="4" t="s">
        <v>119</v>
      </c>
      <c r="K21" s="4" t="s">
        <v>80</v>
      </c>
      <c r="L21" s="4" t="s">
        <v>81</v>
      </c>
    </row>
    <row r="22" ht="15.75" customHeight="1">
      <c r="A22" s="4" t="str">
        <f t="shared" si="1"/>
        <v>Liabilities|Portfolio investment, Debt securities, Long-term, Positions|Uganda|Half-yearly, semester</v>
      </c>
      <c r="B22" s="4" t="s">
        <v>72</v>
      </c>
      <c r="C22" s="4" t="s">
        <v>120</v>
      </c>
      <c r="D22" s="4" t="s">
        <v>74</v>
      </c>
      <c r="E22" s="4" t="s">
        <v>75</v>
      </c>
      <c r="F22" s="4" t="s">
        <v>76</v>
      </c>
      <c r="G22" s="4" t="s">
        <v>77</v>
      </c>
      <c r="H22" s="4" t="s">
        <v>78</v>
      </c>
      <c r="I22" s="4" t="s">
        <v>78</v>
      </c>
      <c r="J22" s="4" t="s">
        <v>121</v>
      </c>
      <c r="K22" s="4" t="s">
        <v>80</v>
      </c>
      <c r="L22" s="4" t="s">
        <v>81</v>
      </c>
    </row>
    <row r="23" ht="15.75" customHeight="1">
      <c r="A23" s="4" t="str">
        <f t="shared" si="1"/>
        <v>Liabilities|Portfolio investment, Debt securities, Long-term, Positions|Armenia, Republic of|Half-yearly, semester</v>
      </c>
      <c r="B23" s="4" t="s">
        <v>72</v>
      </c>
      <c r="C23" s="4" t="s">
        <v>122</v>
      </c>
      <c r="D23" s="4" t="s">
        <v>74</v>
      </c>
      <c r="E23" s="4" t="s">
        <v>75</v>
      </c>
      <c r="F23" s="4" t="s">
        <v>76</v>
      </c>
      <c r="G23" s="4" t="s">
        <v>77</v>
      </c>
      <c r="H23" s="4" t="s">
        <v>78</v>
      </c>
      <c r="I23" s="4" t="s">
        <v>78</v>
      </c>
      <c r="J23" s="4" t="s">
        <v>123</v>
      </c>
      <c r="K23" s="4" t="s">
        <v>80</v>
      </c>
      <c r="L23" s="4" t="s">
        <v>81</v>
      </c>
    </row>
    <row r="24" ht="15.75" customHeight="1">
      <c r="A24" s="4" t="str">
        <f t="shared" si="1"/>
        <v>Liabilities|Portfolio investment, Debt securities, Long-term, Positions|Malta|Half-yearly, semester</v>
      </c>
      <c r="B24" s="4" t="s">
        <v>72</v>
      </c>
      <c r="C24" s="4" t="s">
        <v>124</v>
      </c>
      <c r="D24" s="4" t="s">
        <v>74</v>
      </c>
      <c r="E24" s="4" t="s">
        <v>75</v>
      </c>
      <c r="F24" s="4" t="s">
        <v>76</v>
      </c>
      <c r="G24" s="4" t="s">
        <v>77</v>
      </c>
      <c r="H24" s="4" t="s">
        <v>78</v>
      </c>
      <c r="I24" s="4" t="s">
        <v>78</v>
      </c>
      <c r="J24" s="4" t="s">
        <v>125</v>
      </c>
      <c r="K24" s="4" t="s">
        <v>80</v>
      </c>
      <c r="L24" s="4" t="s">
        <v>81</v>
      </c>
      <c r="AZ24" s="5">
        <v>0.137272663925859</v>
      </c>
      <c r="BA24" s="5">
        <v>0.145787545787546</v>
      </c>
      <c r="BB24" s="5">
        <v>0.14833215046132</v>
      </c>
      <c r="BC24" s="5">
        <v>0.13953488372093</v>
      </c>
      <c r="BD24" s="5">
        <v>0.134264232008593</v>
      </c>
    </row>
    <row r="25" ht="15.75" customHeight="1">
      <c r="A25" s="4" t="str">
        <f t="shared" si="1"/>
        <v>Liabilities|Portfolio investment, Debt securities, Long-term, Positions|Kenya|Half-yearly, semester</v>
      </c>
      <c r="B25" s="4" t="s">
        <v>72</v>
      </c>
      <c r="C25" s="4" t="s">
        <v>126</v>
      </c>
      <c r="D25" s="4" t="s">
        <v>74</v>
      </c>
      <c r="E25" s="4" t="s">
        <v>75</v>
      </c>
      <c r="F25" s="4" t="s">
        <v>76</v>
      </c>
      <c r="G25" s="4" t="s">
        <v>77</v>
      </c>
      <c r="H25" s="4" t="s">
        <v>78</v>
      </c>
      <c r="I25" s="4" t="s">
        <v>78</v>
      </c>
      <c r="J25" s="4" t="s">
        <v>127</v>
      </c>
      <c r="K25" s="4" t="s">
        <v>80</v>
      </c>
      <c r="L25" s="4" t="s">
        <v>81</v>
      </c>
      <c r="AZ25" s="5">
        <v>0.149118528325552</v>
      </c>
      <c r="BA25" s="5">
        <v>0.156776556776557</v>
      </c>
      <c r="BB25" s="5">
        <v>0.151880766501065</v>
      </c>
      <c r="BC25" s="5">
        <v>0.076845298281092</v>
      </c>
      <c r="BD25" s="5">
        <v>0.143662728249194</v>
      </c>
    </row>
    <row r="26" ht="15.75" customHeight="1">
      <c r="A26" s="4" t="str">
        <f t="shared" si="1"/>
        <v>Liabilities|Portfolio investment, Debt securities, Long-term, Positions|Isle of Man|Half-yearly, semester</v>
      </c>
      <c r="B26" s="4" t="s">
        <v>72</v>
      </c>
      <c r="C26" s="4" t="s">
        <v>128</v>
      </c>
      <c r="D26" s="4" t="s">
        <v>74</v>
      </c>
      <c r="E26" s="4" t="s">
        <v>75</v>
      </c>
      <c r="F26" s="4" t="s">
        <v>76</v>
      </c>
      <c r="G26" s="4" t="s">
        <v>77</v>
      </c>
      <c r="H26" s="4" t="s">
        <v>78</v>
      </c>
      <c r="I26" s="4" t="s">
        <v>78</v>
      </c>
      <c r="J26" s="4" t="s">
        <v>129</v>
      </c>
      <c r="K26" s="4" t="s">
        <v>80</v>
      </c>
      <c r="L26" s="4" t="s">
        <v>81</v>
      </c>
    </row>
    <row r="27" ht="15.75" customHeight="1">
      <c r="A27" s="4" t="str">
        <f t="shared" si="1"/>
        <v>Liabilities|Portfolio investment, Debt securities, Long-term, Positions|American Samoa|Half-yearly, semester</v>
      </c>
      <c r="B27" s="4" t="s">
        <v>72</v>
      </c>
      <c r="C27" s="4" t="s">
        <v>130</v>
      </c>
      <c r="D27" s="4" t="s">
        <v>74</v>
      </c>
      <c r="E27" s="4" t="s">
        <v>75</v>
      </c>
      <c r="F27" s="4" t="s">
        <v>76</v>
      </c>
      <c r="G27" s="4" t="s">
        <v>77</v>
      </c>
      <c r="H27" s="4" t="s">
        <v>78</v>
      </c>
      <c r="I27" s="4" t="s">
        <v>78</v>
      </c>
      <c r="J27" s="4" t="s">
        <v>131</v>
      </c>
      <c r="K27" s="4" t="s">
        <v>80</v>
      </c>
      <c r="L27" s="4" t="s">
        <v>81</v>
      </c>
    </row>
    <row r="28" ht="15.75" customHeight="1">
      <c r="A28" s="4" t="str">
        <f t="shared" si="1"/>
        <v>Liabilities|Portfolio investment, Debt securities, Long-term, Positions|Venezuela, República Bolivariana de|Half-yearly, semester</v>
      </c>
      <c r="B28" s="4" t="s">
        <v>72</v>
      </c>
      <c r="C28" s="4" t="s">
        <v>132</v>
      </c>
      <c r="D28" s="4" t="s">
        <v>74</v>
      </c>
      <c r="E28" s="4" t="s">
        <v>75</v>
      </c>
      <c r="F28" s="4" t="s">
        <v>76</v>
      </c>
      <c r="G28" s="4" t="s">
        <v>77</v>
      </c>
      <c r="H28" s="4" t="s">
        <v>78</v>
      </c>
      <c r="I28" s="4" t="s">
        <v>78</v>
      </c>
      <c r="J28" s="4" t="s">
        <v>133</v>
      </c>
      <c r="K28" s="4" t="s">
        <v>80</v>
      </c>
      <c r="L28" s="4" t="s">
        <v>81</v>
      </c>
    </row>
    <row r="29" ht="15.75" customHeight="1">
      <c r="A29" s="4" t="str">
        <f t="shared" si="1"/>
        <v>Liabilities|Portfolio investment, Debt securities, Long-term, Positions|Chile|Half-yearly, semester</v>
      </c>
      <c r="B29" s="4" t="s">
        <v>72</v>
      </c>
      <c r="C29" s="4" t="s">
        <v>134</v>
      </c>
      <c r="D29" s="4" t="s">
        <v>74</v>
      </c>
      <c r="E29" s="4" t="s">
        <v>75</v>
      </c>
      <c r="F29" s="4" t="s">
        <v>76</v>
      </c>
      <c r="G29" s="4" t="s">
        <v>77</v>
      </c>
      <c r="H29" s="4" t="s">
        <v>78</v>
      </c>
      <c r="I29" s="4" t="s">
        <v>78</v>
      </c>
      <c r="J29" s="4" t="s">
        <v>135</v>
      </c>
      <c r="K29" s="4" t="s">
        <v>80</v>
      </c>
      <c r="L29" s="4" t="s">
        <v>81</v>
      </c>
    </row>
    <row r="30" ht="15.75" customHeight="1">
      <c r="A30" s="4" t="str">
        <f t="shared" si="1"/>
        <v>Liabilities|Portfolio investment, Debt securities, Long-term, Positions|Bangladesh|Half-yearly, semester</v>
      </c>
      <c r="B30" s="4" t="s">
        <v>72</v>
      </c>
      <c r="C30" s="4" t="s">
        <v>136</v>
      </c>
      <c r="D30" s="4" t="s">
        <v>74</v>
      </c>
      <c r="E30" s="4" t="s">
        <v>75</v>
      </c>
      <c r="F30" s="4" t="s">
        <v>76</v>
      </c>
      <c r="G30" s="4" t="s">
        <v>77</v>
      </c>
      <c r="H30" s="4" t="s">
        <v>78</v>
      </c>
      <c r="I30" s="4" t="s">
        <v>78</v>
      </c>
      <c r="J30" s="4" t="s">
        <v>137</v>
      </c>
      <c r="K30" s="4" t="s">
        <v>80</v>
      </c>
      <c r="L30" s="4" t="s">
        <v>81</v>
      </c>
    </row>
    <row r="31" ht="15.75" customHeight="1">
      <c r="A31" s="4" t="str">
        <f t="shared" si="1"/>
        <v>Liabilities|Portfolio investment, Debt securities, Long-term, Positions|Macao Special Administrative Region, People's Republic of China|Half-yearly, semester</v>
      </c>
      <c r="B31" s="4" t="s">
        <v>72</v>
      </c>
      <c r="C31" s="4" t="s">
        <v>138</v>
      </c>
      <c r="D31" s="4" t="s">
        <v>74</v>
      </c>
      <c r="E31" s="4" t="s">
        <v>75</v>
      </c>
      <c r="F31" s="4" t="s">
        <v>76</v>
      </c>
      <c r="G31" s="4" t="s">
        <v>77</v>
      </c>
      <c r="H31" s="4" t="s">
        <v>78</v>
      </c>
      <c r="I31" s="4" t="s">
        <v>78</v>
      </c>
      <c r="J31" s="4" t="s">
        <v>139</v>
      </c>
      <c r="K31" s="4" t="s">
        <v>80</v>
      </c>
      <c r="L31" s="4" t="s">
        <v>81</v>
      </c>
    </row>
    <row r="32" ht="15.75" customHeight="1">
      <c r="A32" s="4" t="str">
        <f t="shared" si="1"/>
        <v>Liabilities|Portfolio investment, Debt securities, Long-term, Positions|International Organizations|Half-yearly, semester</v>
      </c>
      <c r="B32" s="4" t="s">
        <v>72</v>
      </c>
      <c r="C32" s="4" t="s">
        <v>140</v>
      </c>
      <c r="D32" s="4" t="s">
        <v>74</v>
      </c>
      <c r="E32" s="4" t="s">
        <v>75</v>
      </c>
      <c r="F32" s="4" t="s">
        <v>76</v>
      </c>
      <c r="G32" s="4" t="s">
        <v>77</v>
      </c>
      <c r="H32" s="4" t="s">
        <v>78</v>
      </c>
      <c r="I32" s="4" t="s">
        <v>78</v>
      </c>
      <c r="J32" s="4" t="s">
        <v>141</v>
      </c>
      <c r="K32" s="4" t="s">
        <v>80</v>
      </c>
      <c r="L32" s="4" t="s">
        <v>81</v>
      </c>
      <c r="AN32" s="5">
        <v>0.0</v>
      </c>
    </row>
    <row r="33" ht="15.75" customHeight="1">
      <c r="A33" s="4" t="str">
        <f t="shared" si="1"/>
        <v>Liabilities|Portfolio investment, Debt securities, Long-term, Positions|Brunei Darussalam|Half-yearly, semester</v>
      </c>
      <c r="B33" s="4" t="s">
        <v>72</v>
      </c>
      <c r="C33" s="4" t="s">
        <v>142</v>
      </c>
      <c r="D33" s="4" t="s">
        <v>74</v>
      </c>
      <c r="E33" s="4" t="s">
        <v>75</v>
      </c>
      <c r="F33" s="4" t="s">
        <v>76</v>
      </c>
      <c r="G33" s="4" t="s">
        <v>77</v>
      </c>
      <c r="H33" s="4" t="s">
        <v>78</v>
      </c>
      <c r="I33" s="4" t="s">
        <v>78</v>
      </c>
      <c r="J33" s="4" t="s">
        <v>143</v>
      </c>
      <c r="K33" s="4" t="s">
        <v>80</v>
      </c>
      <c r="L33" s="4" t="s">
        <v>81</v>
      </c>
    </row>
    <row r="34" ht="15.75" customHeight="1">
      <c r="A34" s="4" t="str">
        <f t="shared" si="1"/>
        <v>Liabilities|Portfolio investment, Debt securities, Long-term, Positions|Andorra, Principality of|Half-yearly, semester</v>
      </c>
      <c r="B34" s="4" t="s">
        <v>72</v>
      </c>
      <c r="C34" s="4" t="s">
        <v>144</v>
      </c>
      <c r="D34" s="4" t="s">
        <v>74</v>
      </c>
      <c r="E34" s="4" t="s">
        <v>75</v>
      </c>
      <c r="F34" s="4" t="s">
        <v>76</v>
      </c>
      <c r="G34" s="4" t="s">
        <v>77</v>
      </c>
      <c r="H34" s="4" t="s">
        <v>78</v>
      </c>
      <c r="I34" s="4" t="s">
        <v>78</v>
      </c>
      <c r="J34" s="4" t="s">
        <v>145</v>
      </c>
      <c r="K34" s="4" t="s">
        <v>80</v>
      </c>
      <c r="L34" s="4" t="s">
        <v>81</v>
      </c>
    </row>
    <row r="35" ht="15.75" customHeight="1">
      <c r="A35" s="4" t="str">
        <f t="shared" si="1"/>
        <v>Liabilities|Portfolio investment, Debt securities, Long-term, Positions|Ukraine|Half-yearly, semester</v>
      </c>
      <c r="B35" s="4" t="s">
        <v>72</v>
      </c>
      <c r="C35" s="4" t="s">
        <v>146</v>
      </c>
      <c r="D35" s="4" t="s">
        <v>74</v>
      </c>
      <c r="E35" s="4" t="s">
        <v>75</v>
      </c>
      <c r="F35" s="4" t="s">
        <v>76</v>
      </c>
      <c r="G35" s="4" t="s">
        <v>77</v>
      </c>
      <c r="H35" s="4" t="s">
        <v>78</v>
      </c>
      <c r="I35" s="4" t="s">
        <v>78</v>
      </c>
      <c r="J35" s="4" t="s">
        <v>147</v>
      </c>
      <c r="K35" s="4" t="s">
        <v>80</v>
      </c>
      <c r="L35" s="4" t="s">
        <v>81</v>
      </c>
    </row>
    <row r="36" ht="15.75" customHeight="1">
      <c r="A36" s="4" t="str">
        <f t="shared" si="1"/>
        <v>Liabilities|Portfolio investment, Debt securities, Long-term, Positions|Samoa|Half-yearly, semester</v>
      </c>
      <c r="B36" s="4" t="s">
        <v>72</v>
      </c>
      <c r="C36" s="4" t="s">
        <v>148</v>
      </c>
      <c r="D36" s="4" t="s">
        <v>74</v>
      </c>
      <c r="E36" s="4" t="s">
        <v>75</v>
      </c>
      <c r="F36" s="4" t="s">
        <v>76</v>
      </c>
      <c r="G36" s="4" t="s">
        <v>77</v>
      </c>
      <c r="H36" s="4" t="s">
        <v>78</v>
      </c>
      <c r="I36" s="4" t="s">
        <v>78</v>
      </c>
      <c r="J36" s="4" t="s">
        <v>149</v>
      </c>
      <c r="K36" s="4" t="s">
        <v>80</v>
      </c>
      <c r="L36" s="4" t="s">
        <v>81</v>
      </c>
    </row>
    <row r="37" ht="15.75" customHeight="1">
      <c r="A37" s="4" t="str">
        <f t="shared" si="1"/>
        <v>Liabilities|Portfolio investment, Debt securities, Long-term, Positions|Bahamas, The|Half-yearly, semester</v>
      </c>
      <c r="B37" s="4" t="s">
        <v>72</v>
      </c>
      <c r="C37" s="4" t="s">
        <v>150</v>
      </c>
      <c r="D37" s="4" t="s">
        <v>74</v>
      </c>
      <c r="E37" s="4" t="s">
        <v>75</v>
      </c>
      <c r="F37" s="4" t="s">
        <v>76</v>
      </c>
      <c r="G37" s="4" t="s">
        <v>77</v>
      </c>
      <c r="H37" s="4" t="s">
        <v>78</v>
      </c>
      <c r="I37" s="4" t="s">
        <v>78</v>
      </c>
      <c r="J37" s="4" t="s">
        <v>151</v>
      </c>
      <c r="K37" s="4" t="s">
        <v>80</v>
      </c>
      <c r="L37" s="4" t="s">
        <v>81</v>
      </c>
    </row>
    <row r="38" ht="15.75" customHeight="1">
      <c r="A38" s="4" t="str">
        <f t="shared" si="1"/>
        <v>Liabilities|Portfolio investment, Debt securities, Long-term, Positions|Solomon Islands|Half-yearly, semester</v>
      </c>
      <c r="B38" s="4" t="s">
        <v>72</v>
      </c>
      <c r="C38" s="4" t="s">
        <v>152</v>
      </c>
      <c r="D38" s="4" t="s">
        <v>74</v>
      </c>
      <c r="E38" s="4" t="s">
        <v>75</v>
      </c>
      <c r="F38" s="4" t="s">
        <v>76</v>
      </c>
      <c r="G38" s="4" t="s">
        <v>77</v>
      </c>
      <c r="H38" s="4" t="s">
        <v>78</v>
      </c>
      <c r="I38" s="4" t="s">
        <v>78</v>
      </c>
      <c r="J38" s="4" t="s">
        <v>153</v>
      </c>
      <c r="K38" s="4" t="s">
        <v>80</v>
      </c>
      <c r="L38" s="4" t="s">
        <v>81</v>
      </c>
    </row>
    <row r="39" ht="15.75" customHeight="1">
      <c r="A39" s="4" t="str">
        <f t="shared" si="1"/>
        <v>Liabilities|Portfolio investment, Debt securities, Long-term, Positions|Poland, Republic of|Half-yearly, semester</v>
      </c>
      <c r="B39" s="4" t="s">
        <v>72</v>
      </c>
      <c r="C39" s="4" t="s">
        <v>154</v>
      </c>
      <c r="D39" s="4" t="s">
        <v>74</v>
      </c>
      <c r="E39" s="4" t="s">
        <v>75</v>
      </c>
      <c r="F39" s="4" t="s">
        <v>76</v>
      </c>
      <c r="G39" s="4" t="s">
        <v>77</v>
      </c>
      <c r="H39" s="4" t="s">
        <v>78</v>
      </c>
      <c r="I39" s="4" t="s">
        <v>78</v>
      </c>
      <c r="J39" s="4" t="s">
        <v>155</v>
      </c>
      <c r="K39" s="4" t="s">
        <v>80</v>
      </c>
      <c r="L39" s="4" t="s">
        <v>81</v>
      </c>
    </row>
    <row r="40" ht="15.75" customHeight="1">
      <c r="A40" s="4" t="str">
        <f t="shared" si="1"/>
        <v>Liabilities|Portfolio investment, Debt securities, Long-term, Positions|Türkiye, Republic of|Half-yearly, semester</v>
      </c>
      <c r="B40" s="4" t="s">
        <v>72</v>
      </c>
      <c r="C40" s="4" t="s">
        <v>156</v>
      </c>
      <c r="D40" s="4" t="s">
        <v>74</v>
      </c>
      <c r="E40" s="4" t="s">
        <v>75</v>
      </c>
      <c r="F40" s="4" t="s">
        <v>76</v>
      </c>
      <c r="G40" s="4" t="s">
        <v>77</v>
      </c>
      <c r="H40" s="4" t="s">
        <v>78</v>
      </c>
      <c r="I40" s="4" t="s">
        <v>78</v>
      </c>
      <c r="J40" s="4" t="s">
        <v>157</v>
      </c>
      <c r="K40" s="4" t="s">
        <v>80</v>
      </c>
      <c r="L40" s="4" t="s">
        <v>81</v>
      </c>
    </row>
    <row r="41" ht="15.75" customHeight="1">
      <c r="A41" s="4" t="str">
        <f t="shared" si="1"/>
        <v>Liabilities|Portfolio investment, Debt securities, Long-term, Positions|Bhutan|Half-yearly, semester</v>
      </c>
      <c r="B41" s="4" t="s">
        <v>72</v>
      </c>
      <c r="C41" s="4" t="s">
        <v>158</v>
      </c>
      <c r="D41" s="4" t="s">
        <v>74</v>
      </c>
      <c r="E41" s="4" t="s">
        <v>75</v>
      </c>
      <c r="F41" s="4" t="s">
        <v>76</v>
      </c>
      <c r="G41" s="4" t="s">
        <v>77</v>
      </c>
      <c r="H41" s="4" t="s">
        <v>78</v>
      </c>
      <c r="I41" s="4" t="s">
        <v>78</v>
      </c>
      <c r="J41" s="4" t="s">
        <v>159</v>
      </c>
      <c r="K41" s="4" t="s">
        <v>80</v>
      </c>
      <c r="L41" s="4" t="s">
        <v>81</v>
      </c>
    </row>
    <row r="42" ht="15.75" customHeight="1">
      <c r="A42" s="4" t="str">
        <f t="shared" si="1"/>
        <v>Liabilities|Portfolio investment, Debt securities, Long-term, Positions|Vietnam|Half-yearly, semester</v>
      </c>
      <c r="B42" s="4" t="s">
        <v>72</v>
      </c>
      <c r="C42" s="4" t="s">
        <v>160</v>
      </c>
      <c r="D42" s="4" t="s">
        <v>74</v>
      </c>
      <c r="E42" s="4" t="s">
        <v>75</v>
      </c>
      <c r="F42" s="4" t="s">
        <v>76</v>
      </c>
      <c r="G42" s="4" t="s">
        <v>77</v>
      </c>
      <c r="H42" s="4" t="s">
        <v>78</v>
      </c>
      <c r="I42" s="4" t="s">
        <v>78</v>
      </c>
      <c r="J42" s="4" t="s">
        <v>161</v>
      </c>
      <c r="K42" s="4" t="s">
        <v>80</v>
      </c>
      <c r="L42" s="4" t="s">
        <v>81</v>
      </c>
    </row>
    <row r="43" ht="15.75" customHeight="1">
      <c r="A43" s="4" t="str">
        <f t="shared" si="1"/>
        <v>Liabilities|Portfolio investment, Debt securities, Long-term, Positions|Pakistan|Half-yearly, semester</v>
      </c>
      <c r="B43" s="4" t="s">
        <v>72</v>
      </c>
      <c r="C43" s="4" t="s">
        <v>162</v>
      </c>
      <c r="D43" s="4" t="s">
        <v>74</v>
      </c>
      <c r="E43" s="4" t="s">
        <v>75</v>
      </c>
      <c r="F43" s="4" t="s">
        <v>76</v>
      </c>
      <c r="G43" s="4" t="s">
        <v>77</v>
      </c>
      <c r="H43" s="4" t="s">
        <v>78</v>
      </c>
      <c r="I43" s="4" t="s">
        <v>78</v>
      </c>
      <c r="J43" s="4" t="s">
        <v>163</v>
      </c>
      <c r="K43" s="4" t="s">
        <v>80</v>
      </c>
      <c r="L43" s="4" t="s">
        <v>81</v>
      </c>
    </row>
    <row r="44" ht="15.75" customHeight="1">
      <c r="A44" s="4" t="str">
        <f t="shared" si="1"/>
        <v>Liabilities|Portfolio investment, Debt securities, Positions|Suriname|Half-yearly, semester</v>
      </c>
      <c r="B44" s="4" t="s">
        <v>72</v>
      </c>
      <c r="C44" s="4" t="s">
        <v>164</v>
      </c>
      <c r="D44" s="4" t="s">
        <v>74</v>
      </c>
      <c r="E44" s="4" t="s">
        <v>75</v>
      </c>
      <c r="F44" s="4" t="s">
        <v>76</v>
      </c>
      <c r="G44" s="4" t="s">
        <v>165</v>
      </c>
      <c r="H44" s="4" t="s">
        <v>78</v>
      </c>
      <c r="I44" s="4" t="s">
        <v>78</v>
      </c>
      <c r="J44" s="4" t="s">
        <v>166</v>
      </c>
      <c r="K44" s="4" t="s">
        <v>80</v>
      </c>
      <c r="L44" s="4" t="s">
        <v>81</v>
      </c>
      <c r="AL44" s="5">
        <v>0.0</v>
      </c>
      <c r="BI44" s="5">
        <v>0.0</v>
      </c>
      <c r="BM44" s="5">
        <v>0.0</v>
      </c>
      <c r="BO44" s="5">
        <v>0.0</v>
      </c>
    </row>
    <row r="45" ht="15.75" customHeight="1">
      <c r="A45" s="4" t="str">
        <f t="shared" si="1"/>
        <v>Liabilities|Portfolio investment, Debt securities, Positions|Grenada|Half-yearly, semester</v>
      </c>
      <c r="B45" s="4" t="s">
        <v>72</v>
      </c>
      <c r="C45" s="4" t="s">
        <v>167</v>
      </c>
      <c r="D45" s="4" t="s">
        <v>74</v>
      </c>
      <c r="E45" s="4" t="s">
        <v>75</v>
      </c>
      <c r="F45" s="4" t="s">
        <v>76</v>
      </c>
      <c r="G45" s="4" t="s">
        <v>165</v>
      </c>
      <c r="H45" s="4" t="s">
        <v>78</v>
      </c>
      <c r="I45" s="4" t="s">
        <v>78</v>
      </c>
      <c r="J45" s="4" t="s">
        <v>168</v>
      </c>
      <c r="K45" s="4" t="s">
        <v>80</v>
      </c>
      <c r="L45" s="4" t="s">
        <v>81</v>
      </c>
      <c r="AL45" s="5">
        <v>0.0</v>
      </c>
      <c r="BI45" s="5">
        <v>0.0</v>
      </c>
      <c r="BM45" s="5">
        <v>0.0</v>
      </c>
      <c r="BO45" s="5">
        <v>0.0</v>
      </c>
    </row>
    <row r="46" ht="15.75" customHeight="1">
      <c r="A46" s="4" t="str">
        <f t="shared" si="1"/>
        <v>Liabilities|Portfolio investment, Debt securities, Positions|St. Kitts and Nevis|Half-yearly, semester</v>
      </c>
      <c r="B46" s="4" t="s">
        <v>72</v>
      </c>
      <c r="C46" s="4" t="s">
        <v>169</v>
      </c>
      <c r="D46" s="4" t="s">
        <v>74</v>
      </c>
      <c r="E46" s="4" t="s">
        <v>75</v>
      </c>
      <c r="F46" s="4" t="s">
        <v>76</v>
      </c>
      <c r="G46" s="4" t="s">
        <v>165</v>
      </c>
      <c r="H46" s="4" t="s">
        <v>78</v>
      </c>
      <c r="I46" s="4" t="s">
        <v>78</v>
      </c>
      <c r="J46" s="4" t="s">
        <v>170</v>
      </c>
      <c r="K46" s="4" t="s">
        <v>80</v>
      </c>
      <c r="L46" s="4" t="s">
        <v>81</v>
      </c>
      <c r="AL46" s="5">
        <v>0.0</v>
      </c>
      <c r="BI46" s="5">
        <v>0.0</v>
      </c>
      <c r="BM46" s="5">
        <v>0.0</v>
      </c>
      <c r="BO46" s="5">
        <v>0.0</v>
      </c>
    </row>
    <row r="47" ht="15.75" customHeight="1">
      <c r="A47" s="4" t="str">
        <f t="shared" si="1"/>
        <v>Liabilities|Portfolio investment, Debt securities, Positions|Netherlands Antilles|Half-yearly, semester</v>
      </c>
      <c r="B47" s="4" t="s">
        <v>72</v>
      </c>
      <c r="C47" s="4" t="s">
        <v>171</v>
      </c>
      <c r="D47" s="4" t="s">
        <v>74</v>
      </c>
      <c r="E47" s="4" t="s">
        <v>75</v>
      </c>
      <c r="F47" s="4" t="s">
        <v>76</v>
      </c>
      <c r="G47" s="4" t="s">
        <v>165</v>
      </c>
      <c r="H47" s="4" t="s">
        <v>78</v>
      </c>
      <c r="I47" s="4" t="s">
        <v>78</v>
      </c>
      <c r="J47" s="4" t="s">
        <v>172</v>
      </c>
      <c r="K47" s="4" t="s">
        <v>80</v>
      </c>
      <c r="L47" s="4" t="s">
        <v>81</v>
      </c>
      <c r="AL47" s="5">
        <v>0.0</v>
      </c>
    </row>
    <row r="48" ht="15.75" customHeight="1">
      <c r="A48" s="4" t="str">
        <f t="shared" si="1"/>
        <v>Liabilities|Portfolio investment, Debt securities, Long-term, Positions|British Virgin Islands|Half-yearly, semester</v>
      </c>
      <c r="B48" s="4" t="s">
        <v>72</v>
      </c>
      <c r="C48" s="4" t="s">
        <v>173</v>
      </c>
      <c r="D48" s="4" t="s">
        <v>74</v>
      </c>
      <c r="E48" s="4" t="s">
        <v>75</v>
      </c>
      <c r="F48" s="4" t="s">
        <v>76</v>
      </c>
      <c r="G48" s="4" t="s">
        <v>77</v>
      </c>
      <c r="H48" s="4" t="s">
        <v>78</v>
      </c>
      <c r="I48" s="4" t="s">
        <v>78</v>
      </c>
      <c r="J48" s="4" t="s">
        <v>174</v>
      </c>
      <c r="K48" s="4" t="s">
        <v>80</v>
      </c>
      <c r="L48" s="4" t="s">
        <v>81</v>
      </c>
    </row>
    <row r="49" ht="15.75" customHeight="1">
      <c r="A49" s="4" t="str">
        <f t="shared" si="1"/>
        <v>Liabilities|Portfolio investment, Debt securities, Long-term, Positions|Norfolk Island|Half-yearly, semester</v>
      </c>
      <c r="B49" s="4" t="s">
        <v>72</v>
      </c>
      <c r="C49" s="4" t="s">
        <v>175</v>
      </c>
      <c r="D49" s="4" t="s">
        <v>74</v>
      </c>
      <c r="E49" s="4" t="s">
        <v>75</v>
      </c>
      <c r="F49" s="4" t="s">
        <v>76</v>
      </c>
      <c r="G49" s="4" t="s">
        <v>77</v>
      </c>
      <c r="H49" s="4" t="s">
        <v>78</v>
      </c>
      <c r="I49" s="4" t="s">
        <v>78</v>
      </c>
      <c r="J49" s="4" t="s">
        <v>176</v>
      </c>
      <c r="K49" s="4" t="s">
        <v>80</v>
      </c>
      <c r="L49" s="4" t="s">
        <v>81</v>
      </c>
    </row>
    <row r="50" ht="15.75" customHeight="1">
      <c r="A50" s="4" t="str">
        <f t="shared" si="1"/>
        <v>Liabilities|Portfolio investment, Debt securities, Positions|Nicaragua|Half-yearly, semester</v>
      </c>
      <c r="B50" s="4" t="s">
        <v>72</v>
      </c>
      <c r="C50" s="4" t="s">
        <v>177</v>
      </c>
      <c r="D50" s="4" t="s">
        <v>74</v>
      </c>
      <c r="E50" s="4" t="s">
        <v>75</v>
      </c>
      <c r="F50" s="4" t="s">
        <v>76</v>
      </c>
      <c r="G50" s="4" t="s">
        <v>165</v>
      </c>
      <c r="H50" s="4" t="s">
        <v>78</v>
      </c>
      <c r="I50" s="4" t="s">
        <v>78</v>
      </c>
      <c r="J50" s="4" t="s">
        <v>178</v>
      </c>
      <c r="K50" s="4" t="s">
        <v>80</v>
      </c>
      <c r="L50" s="4" t="s">
        <v>81</v>
      </c>
      <c r="AL50" s="5">
        <v>0.0</v>
      </c>
      <c r="BI50" s="5">
        <v>0.0</v>
      </c>
      <c r="BM50" s="5">
        <v>0.0</v>
      </c>
      <c r="BO50" s="5">
        <v>0.0</v>
      </c>
    </row>
    <row r="51" ht="15.75" customHeight="1">
      <c r="A51" s="4" t="str">
        <f t="shared" si="1"/>
        <v>Liabilities|Portfolio investment, Debt securities, Long-term, Positions|Hungary|Half-yearly, semester</v>
      </c>
      <c r="B51" s="4" t="s">
        <v>72</v>
      </c>
      <c r="C51" s="4" t="s">
        <v>179</v>
      </c>
      <c r="D51" s="4" t="s">
        <v>74</v>
      </c>
      <c r="E51" s="4" t="s">
        <v>75</v>
      </c>
      <c r="F51" s="4" t="s">
        <v>76</v>
      </c>
      <c r="G51" s="4" t="s">
        <v>77</v>
      </c>
      <c r="H51" s="4" t="s">
        <v>78</v>
      </c>
      <c r="I51" s="4" t="s">
        <v>78</v>
      </c>
      <c r="J51" s="4" t="s">
        <v>180</v>
      </c>
      <c r="K51" s="4" t="s">
        <v>80</v>
      </c>
      <c r="L51" s="4" t="s">
        <v>81</v>
      </c>
    </row>
    <row r="52" ht="15.75" customHeight="1">
      <c r="A52" s="4" t="str">
        <f t="shared" si="1"/>
        <v>Liabilities|Portfolio investment, Debt securities, Positions|Puerto Rico|Half-yearly, semester</v>
      </c>
      <c r="B52" s="4" t="s">
        <v>72</v>
      </c>
      <c r="C52" s="4" t="s">
        <v>181</v>
      </c>
      <c r="D52" s="4" t="s">
        <v>74</v>
      </c>
      <c r="E52" s="4" t="s">
        <v>75</v>
      </c>
      <c r="F52" s="4" t="s">
        <v>76</v>
      </c>
      <c r="G52" s="4" t="s">
        <v>165</v>
      </c>
      <c r="H52" s="4" t="s">
        <v>78</v>
      </c>
      <c r="I52" s="4" t="s">
        <v>78</v>
      </c>
      <c r="J52" s="4" t="s">
        <v>182</v>
      </c>
      <c r="K52" s="4" t="s">
        <v>80</v>
      </c>
      <c r="L52" s="4" t="s">
        <v>81</v>
      </c>
      <c r="AL52" s="5">
        <v>0.0</v>
      </c>
      <c r="BI52" s="5">
        <v>0.0</v>
      </c>
      <c r="BM52" s="5">
        <v>0.0</v>
      </c>
      <c r="BO52" s="5">
        <v>0.0</v>
      </c>
    </row>
    <row r="53" ht="15.75" customHeight="1">
      <c r="A53" s="4" t="str">
        <f t="shared" si="1"/>
        <v>Liabilities|Portfolio investment, Debt securities, Positions|Sweden|Half-yearly, semester</v>
      </c>
      <c r="B53" s="4" t="s">
        <v>72</v>
      </c>
      <c r="C53" s="4" t="s">
        <v>183</v>
      </c>
      <c r="D53" s="4" t="s">
        <v>74</v>
      </c>
      <c r="E53" s="4" t="s">
        <v>75</v>
      </c>
      <c r="F53" s="4" t="s">
        <v>76</v>
      </c>
      <c r="G53" s="4" t="s">
        <v>165</v>
      </c>
      <c r="H53" s="4" t="s">
        <v>78</v>
      </c>
      <c r="I53" s="4" t="s">
        <v>78</v>
      </c>
      <c r="J53" s="4" t="s">
        <v>93</v>
      </c>
      <c r="K53" s="4" t="s">
        <v>80</v>
      </c>
      <c r="L53" s="4" t="s">
        <v>81</v>
      </c>
      <c r="AL53" s="5">
        <v>0.0</v>
      </c>
      <c r="BI53" s="5">
        <v>0.0</v>
      </c>
      <c r="BM53" s="5">
        <v>0.0</v>
      </c>
      <c r="BO53" s="5">
        <v>0.0</v>
      </c>
    </row>
    <row r="54" ht="15.75" customHeight="1">
      <c r="A54" s="4" t="str">
        <f t="shared" si="1"/>
        <v>Liabilities|Portfolio investment, Debt securities, Positions|Trinidad and Tobago|Half-yearly, semester</v>
      </c>
      <c r="B54" s="4" t="s">
        <v>72</v>
      </c>
      <c r="C54" s="4" t="s">
        <v>184</v>
      </c>
      <c r="D54" s="4" t="s">
        <v>74</v>
      </c>
      <c r="E54" s="4" t="s">
        <v>75</v>
      </c>
      <c r="F54" s="4" t="s">
        <v>76</v>
      </c>
      <c r="G54" s="4" t="s">
        <v>165</v>
      </c>
      <c r="H54" s="4" t="s">
        <v>78</v>
      </c>
      <c r="I54" s="4" t="s">
        <v>78</v>
      </c>
      <c r="J54" s="4" t="s">
        <v>185</v>
      </c>
      <c r="K54" s="4" t="s">
        <v>80</v>
      </c>
      <c r="L54" s="4" t="s">
        <v>81</v>
      </c>
      <c r="AL54" s="5">
        <v>0.0</v>
      </c>
      <c r="BI54" s="5">
        <v>0.0</v>
      </c>
      <c r="BM54" s="5">
        <v>0.0</v>
      </c>
      <c r="BO54" s="5">
        <v>0.0</v>
      </c>
    </row>
    <row r="55" ht="15.75" customHeight="1">
      <c r="A55" s="4" t="str">
        <f t="shared" si="1"/>
        <v>Liabilities|Portfolio investment, Debt securities, Positions|Finland|Half-yearly, semester</v>
      </c>
      <c r="B55" s="4" t="s">
        <v>72</v>
      </c>
      <c r="C55" s="4" t="s">
        <v>186</v>
      </c>
      <c r="D55" s="4" t="s">
        <v>74</v>
      </c>
      <c r="E55" s="4" t="s">
        <v>75</v>
      </c>
      <c r="F55" s="4" t="s">
        <v>76</v>
      </c>
      <c r="G55" s="4" t="s">
        <v>165</v>
      </c>
      <c r="H55" s="4" t="s">
        <v>78</v>
      </c>
      <c r="I55" s="4" t="s">
        <v>78</v>
      </c>
      <c r="J55" s="4" t="s">
        <v>83</v>
      </c>
      <c r="K55" s="4" t="s">
        <v>80</v>
      </c>
      <c r="L55" s="4" t="s">
        <v>81</v>
      </c>
      <c r="AL55" s="5">
        <v>0.0</v>
      </c>
      <c r="BI55" s="5">
        <v>0.0</v>
      </c>
      <c r="BM55" s="5">
        <v>0.0</v>
      </c>
      <c r="BO55" s="5">
        <v>0.0</v>
      </c>
    </row>
    <row r="56" ht="15.75" customHeight="1">
      <c r="A56" s="4" t="str">
        <f t="shared" si="1"/>
        <v>Liabilities|Portfolio investment, Debt securities, Positions|Bonaire, Saint Eustatius and Saba|Half-yearly, semester</v>
      </c>
      <c r="B56" s="4" t="s">
        <v>72</v>
      </c>
      <c r="C56" s="4" t="s">
        <v>187</v>
      </c>
      <c r="D56" s="4" t="s">
        <v>74</v>
      </c>
      <c r="E56" s="4" t="s">
        <v>75</v>
      </c>
      <c r="F56" s="4" t="s">
        <v>76</v>
      </c>
      <c r="G56" s="4" t="s">
        <v>165</v>
      </c>
      <c r="H56" s="4" t="s">
        <v>78</v>
      </c>
      <c r="I56" s="4" t="s">
        <v>78</v>
      </c>
      <c r="J56" s="4" t="s">
        <v>188</v>
      </c>
      <c r="K56" s="4" t="s">
        <v>80</v>
      </c>
      <c r="L56" s="4" t="s">
        <v>81</v>
      </c>
      <c r="BI56" s="5">
        <v>0.0</v>
      </c>
      <c r="BM56" s="5">
        <v>0.0</v>
      </c>
      <c r="BO56" s="5">
        <v>0.0</v>
      </c>
    </row>
    <row r="57" ht="15.75" customHeight="1">
      <c r="A57" s="4" t="str">
        <f t="shared" si="1"/>
        <v>Liabilities|Portfolio investment, Debt securities, Positions|Iceland|Half-yearly, semester</v>
      </c>
      <c r="B57" s="4" t="s">
        <v>72</v>
      </c>
      <c r="C57" s="4" t="s">
        <v>189</v>
      </c>
      <c r="D57" s="4" t="s">
        <v>74</v>
      </c>
      <c r="E57" s="4" t="s">
        <v>75</v>
      </c>
      <c r="F57" s="4" t="s">
        <v>76</v>
      </c>
      <c r="G57" s="4" t="s">
        <v>165</v>
      </c>
      <c r="H57" s="4" t="s">
        <v>78</v>
      </c>
      <c r="I57" s="4" t="s">
        <v>78</v>
      </c>
      <c r="J57" s="4" t="s">
        <v>107</v>
      </c>
      <c r="K57" s="4" t="s">
        <v>80</v>
      </c>
      <c r="L57" s="4" t="s">
        <v>81</v>
      </c>
      <c r="AL57" s="5">
        <v>0.0</v>
      </c>
      <c r="BI57" s="5">
        <v>0.0</v>
      </c>
      <c r="BM57" s="5">
        <v>0.0</v>
      </c>
      <c r="BO57" s="5">
        <v>0.0</v>
      </c>
    </row>
    <row r="58" ht="15.75" customHeight="1">
      <c r="A58" s="4" t="str">
        <f t="shared" si="1"/>
        <v>Liabilities|Portfolio investment, Debt securities, Positions|Antigua and Barbuda|Half-yearly, semester</v>
      </c>
      <c r="B58" s="4" t="s">
        <v>72</v>
      </c>
      <c r="C58" s="4" t="s">
        <v>190</v>
      </c>
      <c r="D58" s="4" t="s">
        <v>74</v>
      </c>
      <c r="E58" s="4" t="s">
        <v>75</v>
      </c>
      <c r="F58" s="4" t="s">
        <v>76</v>
      </c>
      <c r="G58" s="4" t="s">
        <v>165</v>
      </c>
      <c r="H58" s="4" t="s">
        <v>78</v>
      </c>
      <c r="I58" s="4" t="s">
        <v>78</v>
      </c>
      <c r="J58" s="4" t="s">
        <v>191</v>
      </c>
      <c r="K58" s="4" t="s">
        <v>80</v>
      </c>
      <c r="L58" s="4" t="s">
        <v>81</v>
      </c>
      <c r="AL58" s="5">
        <v>0.0</v>
      </c>
      <c r="BI58" s="5">
        <v>0.0</v>
      </c>
      <c r="BM58" s="5">
        <v>0.0</v>
      </c>
      <c r="BO58" s="5">
        <v>0.0</v>
      </c>
    </row>
    <row r="59" ht="15.75" customHeight="1">
      <c r="A59" s="4" t="str">
        <f t="shared" si="1"/>
        <v>Liabilities|Portfolio investment, Debt securities, Positions|Peru|Half-yearly, semester</v>
      </c>
      <c r="B59" s="4" t="s">
        <v>72</v>
      </c>
      <c r="C59" s="4" t="s">
        <v>192</v>
      </c>
      <c r="D59" s="4" t="s">
        <v>74</v>
      </c>
      <c r="E59" s="4" t="s">
        <v>75</v>
      </c>
      <c r="F59" s="4" t="s">
        <v>76</v>
      </c>
      <c r="G59" s="4" t="s">
        <v>165</v>
      </c>
      <c r="H59" s="4" t="s">
        <v>78</v>
      </c>
      <c r="I59" s="4" t="s">
        <v>78</v>
      </c>
      <c r="J59" s="4" t="s">
        <v>193</v>
      </c>
      <c r="K59" s="4" t="s">
        <v>80</v>
      </c>
      <c r="L59" s="4" t="s">
        <v>81</v>
      </c>
      <c r="AL59" s="5">
        <v>0.0</v>
      </c>
      <c r="BI59" s="5">
        <v>0.0</v>
      </c>
      <c r="BM59" s="5">
        <v>0.0</v>
      </c>
      <c r="BO59" s="5">
        <v>0.0</v>
      </c>
    </row>
    <row r="60" ht="15.75" customHeight="1">
      <c r="A60" s="4" t="str">
        <f t="shared" si="1"/>
        <v>Liabilities|Portfolio investment, Debt securities, Long-term, Positions|Egypt, Arab Republic of|Half-yearly, semester</v>
      </c>
      <c r="B60" s="4" t="s">
        <v>72</v>
      </c>
      <c r="C60" s="4" t="s">
        <v>194</v>
      </c>
      <c r="D60" s="4" t="s">
        <v>74</v>
      </c>
      <c r="E60" s="4" t="s">
        <v>75</v>
      </c>
      <c r="F60" s="4" t="s">
        <v>76</v>
      </c>
      <c r="G60" s="4" t="s">
        <v>77</v>
      </c>
      <c r="H60" s="4" t="s">
        <v>78</v>
      </c>
      <c r="I60" s="4" t="s">
        <v>78</v>
      </c>
      <c r="J60" s="4" t="s">
        <v>195</v>
      </c>
      <c r="K60" s="4" t="s">
        <v>80</v>
      </c>
      <c r="L60" s="4" t="s">
        <v>81</v>
      </c>
    </row>
    <row r="61" ht="15.75" customHeight="1">
      <c r="A61" s="4" t="str">
        <f t="shared" si="1"/>
        <v>Liabilities|Portfolio investment, Debt securities, Long-term, Positions|Cambodia|Half-yearly, semester</v>
      </c>
      <c r="B61" s="4" t="s">
        <v>72</v>
      </c>
      <c r="C61" s="4" t="s">
        <v>196</v>
      </c>
      <c r="D61" s="4" t="s">
        <v>74</v>
      </c>
      <c r="E61" s="4" t="s">
        <v>75</v>
      </c>
      <c r="F61" s="4" t="s">
        <v>76</v>
      </c>
      <c r="G61" s="4" t="s">
        <v>77</v>
      </c>
      <c r="H61" s="4" t="s">
        <v>78</v>
      </c>
      <c r="I61" s="4" t="s">
        <v>78</v>
      </c>
      <c r="J61" s="4" t="s">
        <v>197</v>
      </c>
      <c r="K61" s="4" t="s">
        <v>80</v>
      </c>
      <c r="L61" s="4" t="s">
        <v>81</v>
      </c>
    </row>
    <row r="62" ht="15.75" customHeight="1">
      <c r="A62" s="4" t="str">
        <f t="shared" si="1"/>
        <v>Liabilities|Portfolio investment, Debt securities, Long-term, Positions|Slovak Republic|Half-yearly, semester</v>
      </c>
      <c r="B62" s="4" t="s">
        <v>72</v>
      </c>
      <c r="C62" s="4" t="s">
        <v>198</v>
      </c>
      <c r="D62" s="4" t="s">
        <v>74</v>
      </c>
      <c r="E62" s="4" t="s">
        <v>75</v>
      </c>
      <c r="F62" s="4" t="s">
        <v>76</v>
      </c>
      <c r="G62" s="4" t="s">
        <v>77</v>
      </c>
      <c r="H62" s="4" t="s">
        <v>78</v>
      </c>
      <c r="I62" s="4" t="s">
        <v>78</v>
      </c>
      <c r="J62" s="4" t="s">
        <v>199</v>
      </c>
      <c r="K62" s="4" t="s">
        <v>80</v>
      </c>
      <c r="L62" s="4" t="s">
        <v>81</v>
      </c>
    </row>
    <row r="63" ht="15.75" customHeight="1">
      <c r="A63" s="4" t="str">
        <f t="shared" si="1"/>
        <v>Liabilities|Portfolio investment, Debt securities, Positions|Falkland Islands (Malvinas)|Half-yearly, semester</v>
      </c>
      <c r="B63" s="4" t="s">
        <v>72</v>
      </c>
      <c r="C63" s="4" t="s">
        <v>200</v>
      </c>
      <c r="D63" s="4" t="s">
        <v>74</v>
      </c>
      <c r="E63" s="4" t="s">
        <v>75</v>
      </c>
      <c r="F63" s="4" t="s">
        <v>76</v>
      </c>
      <c r="G63" s="4" t="s">
        <v>165</v>
      </c>
      <c r="H63" s="4" t="s">
        <v>78</v>
      </c>
      <c r="I63" s="4" t="s">
        <v>78</v>
      </c>
      <c r="J63" s="4" t="s">
        <v>117</v>
      </c>
      <c r="K63" s="4" t="s">
        <v>80</v>
      </c>
      <c r="L63" s="4" t="s">
        <v>81</v>
      </c>
      <c r="AL63" s="5">
        <v>0.0</v>
      </c>
      <c r="BI63" s="5">
        <v>0.0</v>
      </c>
      <c r="BM63" s="5">
        <v>0.0</v>
      </c>
      <c r="BO63" s="5">
        <v>0.0</v>
      </c>
    </row>
    <row r="64" ht="15.75" customHeight="1">
      <c r="A64" s="4" t="str">
        <f t="shared" si="1"/>
        <v>Liabilities|Portfolio investment, Debt securities, Positions|Uruguay|Half-yearly, semester</v>
      </c>
      <c r="B64" s="4" t="s">
        <v>72</v>
      </c>
      <c r="C64" s="4" t="s">
        <v>201</v>
      </c>
      <c r="D64" s="4" t="s">
        <v>74</v>
      </c>
      <c r="E64" s="4" t="s">
        <v>75</v>
      </c>
      <c r="F64" s="4" t="s">
        <v>76</v>
      </c>
      <c r="G64" s="4" t="s">
        <v>165</v>
      </c>
      <c r="H64" s="4" t="s">
        <v>78</v>
      </c>
      <c r="I64" s="4" t="s">
        <v>78</v>
      </c>
      <c r="J64" s="4" t="s">
        <v>202</v>
      </c>
      <c r="K64" s="4" t="s">
        <v>80</v>
      </c>
      <c r="L64" s="4" t="s">
        <v>81</v>
      </c>
      <c r="AL64" s="5">
        <v>0.0</v>
      </c>
      <c r="BI64" s="5">
        <v>0.0</v>
      </c>
      <c r="BM64" s="5">
        <v>0.0</v>
      </c>
      <c r="BO64" s="5">
        <v>0.0</v>
      </c>
    </row>
    <row r="65" ht="15.75" customHeight="1">
      <c r="A65" s="4" t="str">
        <f t="shared" si="1"/>
        <v>Liabilities|Portfolio investment, Debt securities, Long-term, Positions|Kazakhstan, Republic of|Half-yearly, semester</v>
      </c>
      <c r="B65" s="4" t="s">
        <v>72</v>
      </c>
      <c r="C65" s="4" t="s">
        <v>203</v>
      </c>
      <c r="D65" s="4" t="s">
        <v>74</v>
      </c>
      <c r="E65" s="4" t="s">
        <v>75</v>
      </c>
      <c r="F65" s="4" t="s">
        <v>76</v>
      </c>
      <c r="G65" s="4" t="s">
        <v>77</v>
      </c>
      <c r="H65" s="4" t="s">
        <v>78</v>
      </c>
      <c r="I65" s="4" t="s">
        <v>78</v>
      </c>
      <c r="J65" s="4" t="s">
        <v>204</v>
      </c>
      <c r="K65" s="4" t="s">
        <v>80</v>
      </c>
      <c r="L65" s="4" t="s">
        <v>81</v>
      </c>
    </row>
    <row r="66" ht="15.75" customHeight="1">
      <c r="A66" s="4" t="str">
        <f t="shared" si="1"/>
        <v>Liabilities|Portfolio investment, Debt securities, Positions|United States Virgin Islands|Half-yearly, semester</v>
      </c>
      <c r="B66" s="4" t="s">
        <v>72</v>
      </c>
      <c r="C66" s="4" t="s">
        <v>205</v>
      </c>
      <c r="D66" s="4" t="s">
        <v>74</v>
      </c>
      <c r="E66" s="4" t="s">
        <v>75</v>
      </c>
      <c r="F66" s="4" t="s">
        <v>76</v>
      </c>
      <c r="G66" s="4" t="s">
        <v>165</v>
      </c>
      <c r="H66" s="4" t="s">
        <v>78</v>
      </c>
      <c r="I66" s="4" t="s">
        <v>78</v>
      </c>
      <c r="J66" s="4" t="s">
        <v>206</v>
      </c>
      <c r="K66" s="4" t="s">
        <v>80</v>
      </c>
      <c r="L66" s="4" t="s">
        <v>81</v>
      </c>
      <c r="AL66" s="5">
        <v>0.0</v>
      </c>
      <c r="BI66" s="5">
        <v>0.0</v>
      </c>
      <c r="BM66" s="5">
        <v>0.0</v>
      </c>
      <c r="BO66" s="5">
        <v>0.0</v>
      </c>
    </row>
    <row r="67" ht="15.75" customHeight="1">
      <c r="A67" s="4" t="str">
        <f t="shared" si="1"/>
        <v>Liabilities|Portfolio investment, Debt securities, Long-term, Positions|Cyprus|Half-yearly, semester</v>
      </c>
      <c r="B67" s="4" t="s">
        <v>72</v>
      </c>
      <c r="C67" s="4" t="s">
        <v>207</v>
      </c>
      <c r="D67" s="4" t="s">
        <v>74</v>
      </c>
      <c r="E67" s="4" t="s">
        <v>75</v>
      </c>
      <c r="F67" s="4" t="s">
        <v>76</v>
      </c>
      <c r="G67" s="4" t="s">
        <v>77</v>
      </c>
      <c r="H67" s="4" t="s">
        <v>78</v>
      </c>
      <c r="I67" s="4" t="s">
        <v>78</v>
      </c>
      <c r="J67" s="4" t="s">
        <v>208</v>
      </c>
      <c r="K67" s="4" t="s">
        <v>80</v>
      </c>
      <c r="L67" s="4" t="s">
        <v>81</v>
      </c>
    </row>
    <row r="68" ht="15.75" customHeight="1">
      <c r="A68" s="4" t="str">
        <f t="shared" si="1"/>
        <v>Liabilities|Portfolio investment, Debt securities, Positions|Holy See|Half-yearly, semester</v>
      </c>
      <c r="B68" s="4" t="s">
        <v>72</v>
      </c>
      <c r="C68" s="4" t="s">
        <v>209</v>
      </c>
      <c r="D68" s="4" t="s">
        <v>74</v>
      </c>
      <c r="E68" s="4" t="s">
        <v>75</v>
      </c>
      <c r="F68" s="4" t="s">
        <v>76</v>
      </c>
      <c r="G68" s="4" t="s">
        <v>165</v>
      </c>
      <c r="H68" s="4" t="s">
        <v>78</v>
      </c>
      <c r="I68" s="4" t="s">
        <v>78</v>
      </c>
      <c r="J68" s="4" t="s">
        <v>210</v>
      </c>
      <c r="K68" s="4" t="s">
        <v>80</v>
      </c>
      <c r="L68" s="4" t="s">
        <v>81</v>
      </c>
      <c r="AL68" s="5">
        <v>0.0</v>
      </c>
      <c r="BI68" s="5">
        <v>0.0</v>
      </c>
      <c r="BM68" s="5">
        <v>0.0</v>
      </c>
      <c r="BO68" s="5">
        <v>0.0</v>
      </c>
    </row>
    <row r="69" ht="15.75" customHeight="1">
      <c r="A69" s="4" t="str">
        <f t="shared" si="1"/>
        <v>Liabilities|Portfolio investment, Debt securities, Positions|Argentina|Half-yearly, semester</v>
      </c>
      <c r="B69" s="4" t="s">
        <v>72</v>
      </c>
      <c r="C69" s="4" t="s">
        <v>211</v>
      </c>
      <c r="D69" s="4" t="s">
        <v>74</v>
      </c>
      <c r="E69" s="4" t="s">
        <v>75</v>
      </c>
      <c r="F69" s="4" t="s">
        <v>76</v>
      </c>
      <c r="G69" s="4" t="s">
        <v>165</v>
      </c>
      <c r="H69" s="4" t="s">
        <v>78</v>
      </c>
      <c r="I69" s="4" t="s">
        <v>78</v>
      </c>
      <c r="J69" s="4" t="s">
        <v>212</v>
      </c>
      <c r="K69" s="4" t="s">
        <v>80</v>
      </c>
      <c r="L69" s="4" t="s">
        <v>81</v>
      </c>
      <c r="AL69" s="5">
        <v>0.0</v>
      </c>
      <c r="BI69" s="5">
        <v>0.0</v>
      </c>
      <c r="BM69" s="5">
        <v>0.0</v>
      </c>
      <c r="BO69" s="5">
        <v>0.0</v>
      </c>
    </row>
    <row r="70" ht="15.75" customHeight="1">
      <c r="A70" s="4" t="str">
        <f t="shared" si="1"/>
        <v>Liabilities|Portfolio investment, Debt securities, Positions|St. Lucia|Half-yearly, semester</v>
      </c>
      <c r="B70" s="4" t="s">
        <v>72</v>
      </c>
      <c r="C70" s="4" t="s">
        <v>213</v>
      </c>
      <c r="D70" s="4" t="s">
        <v>74</v>
      </c>
      <c r="E70" s="4" t="s">
        <v>75</v>
      </c>
      <c r="F70" s="4" t="s">
        <v>76</v>
      </c>
      <c r="G70" s="4" t="s">
        <v>165</v>
      </c>
      <c r="H70" s="4" t="s">
        <v>78</v>
      </c>
      <c r="I70" s="4" t="s">
        <v>78</v>
      </c>
      <c r="J70" s="4" t="s">
        <v>214</v>
      </c>
      <c r="K70" s="4" t="s">
        <v>80</v>
      </c>
      <c r="L70" s="4" t="s">
        <v>81</v>
      </c>
      <c r="AL70" s="5">
        <v>0.0</v>
      </c>
      <c r="BI70" s="5">
        <v>0.0</v>
      </c>
      <c r="BM70" s="5">
        <v>0.0</v>
      </c>
      <c r="BO70" s="5">
        <v>0.0</v>
      </c>
    </row>
    <row r="71" ht="15.75" customHeight="1">
      <c r="A71" s="4" t="str">
        <f t="shared" si="1"/>
        <v>Liabilities|Portfolio investment, Debt securities, Positions|Türkiye, Republic of|Half-yearly, semester</v>
      </c>
      <c r="B71" s="4" t="s">
        <v>72</v>
      </c>
      <c r="C71" s="4" t="s">
        <v>215</v>
      </c>
      <c r="D71" s="4" t="s">
        <v>74</v>
      </c>
      <c r="E71" s="4" t="s">
        <v>75</v>
      </c>
      <c r="F71" s="4" t="s">
        <v>76</v>
      </c>
      <c r="G71" s="4" t="s">
        <v>165</v>
      </c>
      <c r="H71" s="4" t="s">
        <v>78</v>
      </c>
      <c r="I71" s="4" t="s">
        <v>78</v>
      </c>
      <c r="J71" s="4" t="s">
        <v>157</v>
      </c>
      <c r="K71" s="4" t="s">
        <v>80</v>
      </c>
      <c r="L71" s="4" t="s">
        <v>81</v>
      </c>
      <c r="AL71" s="5">
        <v>0.0</v>
      </c>
      <c r="BI71" s="5">
        <v>0.0</v>
      </c>
      <c r="BM71" s="5">
        <v>0.0</v>
      </c>
      <c r="BO71" s="5">
        <v>0.0</v>
      </c>
    </row>
    <row r="72" ht="15.75" customHeight="1">
      <c r="A72" s="4" t="str">
        <f t="shared" si="1"/>
        <v>Liabilities|Portfolio investment, Debt securities, Positions|Brazil|Half-yearly, semester</v>
      </c>
      <c r="B72" s="4" t="s">
        <v>72</v>
      </c>
      <c r="C72" s="4" t="s">
        <v>216</v>
      </c>
      <c r="D72" s="4" t="s">
        <v>74</v>
      </c>
      <c r="E72" s="4" t="s">
        <v>75</v>
      </c>
      <c r="F72" s="4" t="s">
        <v>76</v>
      </c>
      <c r="G72" s="4" t="s">
        <v>165</v>
      </c>
      <c r="H72" s="4" t="s">
        <v>78</v>
      </c>
      <c r="I72" s="4" t="s">
        <v>78</v>
      </c>
      <c r="J72" s="4" t="s">
        <v>217</v>
      </c>
      <c r="K72" s="4" t="s">
        <v>80</v>
      </c>
      <c r="L72" s="4" t="s">
        <v>81</v>
      </c>
      <c r="AL72" s="5">
        <v>0.0</v>
      </c>
      <c r="BI72" s="5">
        <v>0.0</v>
      </c>
      <c r="BM72" s="5">
        <v>0.0</v>
      </c>
      <c r="BO72" s="5">
        <v>0.0</v>
      </c>
    </row>
    <row r="73" ht="15.75" customHeight="1">
      <c r="A73" s="4" t="str">
        <f t="shared" si="1"/>
        <v>Liabilities|Portfolio investment, Debt securities, Positions|Curaçao, Kingdom of the Netherlands|Half-yearly, semester</v>
      </c>
      <c r="B73" s="4" t="s">
        <v>72</v>
      </c>
      <c r="C73" s="4" t="s">
        <v>218</v>
      </c>
      <c r="D73" s="4" t="s">
        <v>74</v>
      </c>
      <c r="E73" s="4" t="s">
        <v>75</v>
      </c>
      <c r="F73" s="4" t="s">
        <v>76</v>
      </c>
      <c r="G73" s="4" t="s">
        <v>165</v>
      </c>
      <c r="H73" s="4" t="s">
        <v>78</v>
      </c>
      <c r="I73" s="4" t="s">
        <v>78</v>
      </c>
      <c r="J73" s="4" t="s">
        <v>219</v>
      </c>
      <c r="K73" s="4" t="s">
        <v>80</v>
      </c>
      <c r="L73" s="4" t="s">
        <v>81</v>
      </c>
      <c r="BI73" s="5">
        <v>0.0</v>
      </c>
      <c r="BM73" s="5">
        <v>0.0</v>
      </c>
      <c r="BO73" s="5">
        <v>0.0</v>
      </c>
    </row>
    <row r="74" ht="15.75" customHeight="1">
      <c r="A74" s="4" t="str">
        <f t="shared" si="1"/>
        <v>Liabilities|Portfolio investment, Debt securities, Positions|Bahamas, The|Half-yearly, semester</v>
      </c>
      <c r="B74" s="4" t="s">
        <v>72</v>
      </c>
      <c r="C74" s="4" t="s">
        <v>220</v>
      </c>
      <c r="D74" s="4" t="s">
        <v>74</v>
      </c>
      <c r="E74" s="4" t="s">
        <v>75</v>
      </c>
      <c r="F74" s="4" t="s">
        <v>76</v>
      </c>
      <c r="G74" s="4" t="s">
        <v>165</v>
      </c>
      <c r="H74" s="4" t="s">
        <v>78</v>
      </c>
      <c r="I74" s="4" t="s">
        <v>78</v>
      </c>
      <c r="J74" s="4" t="s">
        <v>151</v>
      </c>
      <c r="K74" s="4" t="s">
        <v>80</v>
      </c>
      <c r="L74" s="4" t="s">
        <v>81</v>
      </c>
      <c r="AL74" s="5">
        <v>0.0</v>
      </c>
      <c r="BI74" s="5">
        <v>0.0</v>
      </c>
      <c r="BM74" s="5">
        <v>0.0</v>
      </c>
      <c r="BO74" s="5">
        <v>0.0</v>
      </c>
    </row>
    <row r="75" ht="15.75" customHeight="1">
      <c r="A75" s="4" t="str">
        <f t="shared" si="1"/>
        <v>Liabilities|Portfolio investment, Debt securities, Positions|Montserrat, United Kingdom-British Overseas Territory|Half-yearly, semester</v>
      </c>
      <c r="B75" s="4" t="s">
        <v>72</v>
      </c>
      <c r="C75" s="4" t="s">
        <v>221</v>
      </c>
      <c r="D75" s="4" t="s">
        <v>74</v>
      </c>
      <c r="E75" s="4" t="s">
        <v>75</v>
      </c>
      <c r="F75" s="4" t="s">
        <v>76</v>
      </c>
      <c r="G75" s="4" t="s">
        <v>165</v>
      </c>
      <c r="H75" s="4" t="s">
        <v>78</v>
      </c>
      <c r="I75" s="4" t="s">
        <v>78</v>
      </c>
      <c r="J75" s="4" t="s">
        <v>222</v>
      </c>
      <c r="K75" s="4" t="s">
        <v>80</v>
      </c>
      <c r="L75" s="4" t="s">
        <v>81</v>
      </c>
      <c r="AL75" s="5">
        <v>0.0</v>
      </c>
      <c r="BI75" s="5">
        <v>0.0</v>
      </c>
      <c r="BM75" s="5">
        <v>0.0</v>
      </c>
      <c r="BO75" s="5">
        <v>0.0</v>
      </c>
    </row>
    <row r="76" ht="15.75" customHeight="1">
      <c r="A76" s="4" t="str">
        <f t="shared" si="1"/>
        <v>Liabilities|Portfolio investment, Debt securities, Positions|Isle of Man|Half-yearly, semester</v>
      </c>
      <c r="B76" s="4" t="s">
        <v>72</v>
      </c>
      <c r="C76" s="4" t="s">
        <v>223</v>
      </c>
      <c r="D76" s="4" t="s">
        <v>74</v>
      </c>
      <c r="E76" s="4" t="s">
        <v>75</v>
      </c>
      <c r="F76" s="4" t="s">
        <v>76</v>
      </c>
      <c r="G76" s="4" t="s">
        <v>165</v>
      </c>
      <c r="H76" s="4" t="s">
        <v>78</v>
      </c>
      <c r="I76" s="4" t="s">
        <v>78</v>
      </c>
      <c r="J76" s="4" t="s">
        <v>129</v>
      </c>
      <c r="K76" s="4" t="s">
        <v>80</v>
      </c>
      <c r="L76" s="4" t="s">
        <v>81</v>
      </c>
      <c r="AL76" s="5">
        <v>0.0</v>
      </c>
      <c r="BI76" s="5">
        <v>0.0</v>
      </c>
      <c r="BM76" s="5">
        <v>0.0</v>
      </c>
    </row>
    <row r="77" ht="15.75" customHeight="1">
      <c r="A77" s="4" t="str">
        <f t="shared" si="1"/>
        <v>Liabilities|Portfolio investment, Debt securities, Long-term, Positions|Malawi|Half-yearly, semester</v>
      </c>
      <c r="B77" s="4" t="s">
        <v>72</v>
      </c>
      <c r="C77" s="4" t="s">
        <v>224</v>
      </c>
      <c r="D77" s="4" t="s">
        <v>74</v>
      </c>
      <c r="E77" s="4" t="s">
        <v>75</v>
      </c>
      <c r="F77" s="4" t="s">
        <v>76</v>
      </c>
      <c r="G77" s="4" t="s">
        <v>77</v>
      </c>
      <c r="H77" s="4" t="s">
        <v>78</v>
      </c>
      <c r="I77" s="4" t="s">
        <v>78</v>
      </c>
      <c r="J77" s="4" t="s">
        <v>225</v>
      </c>
      <c r="K77" s="4" t="s">
        <v>80</v>
      </c>
      <c r="L77" s="4" t="s">
        <v>81</v>
      </c>
    </row>
    <row r="78" ht="15.75" customHeight="1">
      <c r="A78" s="4" t="str">
        <f t="shared" si="1"/>
        <v>Liabilities|Portfolio investment, Debt securities, Long-term, Positions|Oman|Half-yearly, semester</v>
      </c>
      <c r="B78" s="4" t="s">
        <v>72</v>
      </c>
      <c r="C78" s="4" t="s">
        <v>226</v>
      </c>
      <c r="D78" s="4" t="s">
        <v>74</v>
      </c>
      <c r="E78" s="4" t="s">
        <v>75</v>
      </c>
      <c r="F78" s="4" t="s">
        <v>76</v>
      </c>
      <c r="G78" s="4" t="s">
        <v>77</v>
      </c>
      <c r="H78" s="4" t="s">
        <v>78</v>
      </c>
      <c r="I78" s="4" t="s">
        <v>78</v>
      </c>
      <c r="J78" s="4" t="s">
        <v>227</v>
      </c>
      <c r="K78" s="4" t="s">
        <v>80</v>
      </c>
      <c r="L78" s="4" t="s">
        <v>81</v>
      </c>
    </row>
    <row r="79" ht="15.75" customHeight="1">
      <c r="A79" s="4" t="str">
        <f t="shared" si="1"/>
        <v>Liabilities|Portfolio investment, Debt securities, Positions|El Salvador|Half-yearly, semester</v>
      </c>
      <c r="B79" s="4" t="s">
        <v>72</v>
      </c>
      <c r="C79" s="4" t="s">
        <v>228</v>
      </c>
      <c r="D79" s="4" t="s">
        <v>74</v>
      </c>
      <c r="E79" s="4" t="s">
        <v>75</v>
      </c>
      <c r="F79" s="4" t="s">
        <v>76</v>
      </c>
      <c r="G79" s="4" t="s">
        <v>165</v>
      </c>
      <c r="H79" s="4" t="s">
        <v>78</v>
      </c>
      <c r="I79" s="4" t="s">
        <v>78</v>
      </c>
      <c r="J79" s="4" t="s">
        <v>229</v>
      </c>
      <c r="K79" s="4" t="s">
        <v>80</v>
      </c>
      <c r="L79" s="4" t="s">
        <v>81</v>
      </c>
      <c r="AL79" s="5">
        <v>0.0</v>
      </c>
      <c r="BI79" s="5">
        <v>0.0</v>
      </c>
      <c r="BM79" s="5">
        <v>0.0</v>
      </c>
      <c r="BO79" s="5">
        <v>0.0</v>
      </c>
    </row>
    <row r="80" ht="15.75" customHeight="1">
      <c r="A80" s="4" t="str">
        <f t="shared" si="1"/>
        <v>Liabilities|Portfolio investment, Debt securities, Positions|Panama|Half-yearly, semester</v>
      </c>
      <c r="B80" s="4" t="s">
        <v>72</v>
      </c>
      <c r="C80" s="4" t="s">
        <v>230</v>
      </c>
      <c r="D80" s="4" t="s">
        <v>74</v>
      </c>
      <c r="E80" s="4" t="s">
        <v>75</v>
      </c>
      <c r="F80" s="4" t="s">
        <v>76</v>
      </c>
      <c r="G80" s="4" t="s">
        <v>165</v>
      </c>
      <c r="H80" s="4" t="s">
        <v>78</v>
      </c>
      <c r="I80" s="4" t="s">
        <v>78</v>
      </c>
      <c r="J80" s="4" t="s">
        <v>231</v>
      </c>
      <c r="K80" s="4" t="s">
        <v>80</v>
      </c>
      <c r="L80" s="4" t="s">
        <v>81</v>
      </c>
      <c r="AL80" s="5">
        <v>0.0</v>
      </c>
      <c r="BI80" s="5">
        <v>0.0</v>
      </c>
      <c r="BM80" s="5">
        <v>0.0</v>
      </c>
      <c r="BO80" s="5">
        <v>0.0</v>
      </c>
    </row>
    <row r="81" ht="15.75" customHeight="1">
      <c r="A81" s="4" t="str">
        <f t="shared" si="1"/>
        <v>Liabilities|Portfolio investment, Debt securities, Positions|Andorra, Principality of|Half-yearly, semester</v>
      </c>
      <c r="B81" s="4" t="s">
        <v>72</v>
      </c>
      <c r="C81" s="4" t="s">
        <v>232</v>
      </c>
      <c r="D81" s="4" t="s">
        <v>74</v>
      </c>
      <c r="E81" s="4" t="s">
        <v>75</v>
      </c>
      <c r="F81" s="4" t="s">
        <v>76</v>
      </c>
      <c r="G81" s="4" t="s">
        <v>165</v>
      </c>
      <c r="H81" s="4" t="s">
        <v>78</v>
      </c>
      <c r="I81" s="4" t="s">
        <v>78</v>
      </c>
      <c r="J81" s="4" t="s">
        <v>145</v>
      </c>
      <c r="K81" s="4" t="s">
        <v>80</v>
      </c>
      <c r="L81" s="4" t="s">
        <v>81</v>
      </c>
      <c r="AL81" s="5">
        <v>0.0</v>
      </c>
      <c r="BI81" s="5">
        <v>0.0</v>
      </c>
      <c r="BM81" s="5">
        <v>0.0</v>
      </c>
      <c r="BO81" s="5">
        <v>0.0</v>
      </c>
    </row>
    <row r="82" ht="15.75" customHeight="1">
      <c r="A82" s="4" t="str">
        <f t="shared" si="1"/>
        <v>Liabilities|Portfolio investment, Debt securities, Positions|Dominican Republic|Half-yearly, semester</v>
      </c>
      <c r="B82" s="4" t="s">
        <v>72</v>
      </c>
      <c r="C82" s="4" t="s">
        <v>233</v>
      </c>
      <c r="D82" s="4" t="s">
        <v>74</v>
      </c>
      <c r="E82" s="4" t="s">
        <v>75</v>
      </c>
      <c r="F82" s="4" t="s">
        <v>76</v>
      </c>
      <c r="G82" s="4" t="s">
        <v>165</v>
      </c>
      <c r="H82" s="4" t="s">
        <v>78</v>
      </c>
      <c r="I82" s="4" t="s">
        <v>78</v>
      </c>
      <c r="J82" s="4" t="s">
        <v>234</v>
      </c>
      <c r="K82" s="4" t="s">
        <v>80</v>
      </c>
      <c r="L82" s="4" t="s">
        <v>81</v>
      </c>
      <c r="AL82" s="5">
        <v>0.0</v>
      </c>
      <c r="BI82" s="5">
        <v>0.0</v>
      </c>
      <c r="BM82" s="5">
        <v>0.0</v>
      </c>
      <c r="BO82" s="5">
        <v>0.0</v>
      </c>
    </row>
    <row r="83" ht="15.75" customHeight="1">
      <c r="A83" s="4" t="str">
        <f t="shared" si="1"/>
        <v>Liabilities|Portfolio investment, Debt securities, Long-term, Positions|Israel|Half-yearly, semester</v>
      </c>
      <c r="B83" s="4" t="s">
        <v>72</v>
      </c>
      <c r="C83" s="4" t="s">
        <v>235</v>
      </c>
      <c r="D83" s="4" t="s">
        <v>74</v>
      </c>
      <c r="E83" s="4" t="s">
        <v>75</v>
      </c>
      <c r="F83" s="4" t="s">
        <v>76</v>
      </c>
      <c r="G83" s="4" t="s">
        <v>77</v>
      </c>
      <c r="H83" s="4" t="s">
        <v>78</v>
      </c>
      <c r="I83" s="4" t="s">
        <v>78</v>
      </c>
      <c r="J83" s="4" t="s">
        <v>236</v>
      </c>
      <c r="K83" s="4" t="s">
        <v>80</v>
      </c>
      <c r="L83" s="4" t="s">
        <v>81</v>
      </c>
    </row>
    <row r="84" ht="15.75" customHeight="1">
      <c r="A84" s="4" t="str">
        <f t="shared" si="1"/>
        <v>Liabilities|Portfolio investment, Debt securities, Long-term, Positions|Papua New Guinea|Half-yearly, semester</v>
      </c>
      <c r="B84" s="4" t="s">
        <v>72</v>
      </c>
      <c r="C84" s="4" t="s">
        <v>237</v>
      </c>
      <c r="D84" s="4" t="s">
        <v>74</v>
      </c>
      <c r="E84" s="4" t="s">
        <v>75</v>
      </c>
      <c r="F84" s="4" t="s">
        <v>76</v>
      </c>
      <c r="G84" s="4" t="s">
        <v>77</v>
      </c>
      <c r="H84" s="4" t="s">
        <v>78</v>
      </c>
      <c r="I84" s="4" t="s">
        <v>78</v>
      </c>
      <c r="J84" s="4" t="s">
        <v>238</v>
      </c>
      <c r="K84" s="4" t="s">
        <v>80</v>
      </c>
      <c r="L84" s="4" t="s">
        <v>81</v>
      </c>
      <c r="AZ84" s="5">
        <v>0.362344087520033</v>
      </c>
    </row>
    <row r="85" ht="15.75" customHeight="1">
      <c r="A85" s="4" t="str">
        <f t="shared" si="1"/>
        <v>Liabilities|Portfolio investment, Debt securities, Long-term, Positions|Myanmar|Half-yearly, semester</v>
      </c>
      <c r="B85" s="4" t="s">
        <v>72</v>
      </c>
      <c r="C85" s="4" t="s">
        <v>239</v>
      </c>
      <c r="D85" s="4" t="s">
        <v>74</v>
      </c>
      <c r="E85" s="4" t="s">
        <v>75</v>
      </c>
      <c r="F85" s="4" t="s">
        <v>76</v>
      </c>
      <c r="G85" s="4" t="s">
        <v>77</v>
      </c>
      <c r="H85" s="4" t="s">
        <v>78</v>
      </c>
      <c r="I85" s="4" t="s">
        <v>78</v>
      </c>
      <c r="J85" s="4" t="s">
        <v>240</v>
      </c>
      <c r="K85" s="4" t="s">
        <v>80</v>
      </c>
      <c r="L85" s="4" t="s">
        <v>81</v>
      </c>
    </row>
    <row r="86" ht="15.75" customHeight="1">
      <c r="A86" s="4" t="str">
        <f t="shared" si="1"/>
        <v>Liabilities|Portfolio investment, Debt securities, Long-term, Positions|Guam|Half-yearly, semester</v>
      </c>
      <c r="B86" s="4" t="s">
        <v>72</v>
      </c>
      <c r="C86" s="4" t="s">
        <v>241</v>
      </c>
      <c r="D86" s="4" t="s">
        <v>74</v>
      </c>
      <c r="E86" s="4" t="s">
        <v>75</v>
      </c>
      <c r="F86" s="4" t="s">
        <v>76</v>
      </c>
      <c r="G86" s="4" t="s">
        <v>77</v>
      </c>
      <c r="H86" s="4" t="s">
        <v>78</v>
      </c>
      <c r="I86" s="4" t="s">
        <v>78</v>
      </c>
      <c r="J86" s="4" t="s">
        <v>242</v>
      </c>
      <c r="K86" s="4" t="s">
        <v>80</v>
      </c>
      <c r="L86" s="4" t="s">
        <v>81</v>
      </c>
    </row>
    <row r="87" ht="15.75" customHeight="1">
      <c r="A87" s="4" t="str">
        <f t="shared" si="1"/>
        <v>Liabilities|Portfolio investment, Debt securities, Positions|Bahrain, Kingdom of|Half-yearly, semester</v>
      </c>
      <c r="B87" s="4" t="s">
        <v>72</v>
      </c>
      <c r="C87" s="4" t="s">
        <v>243</v>
      </c>
      <c r="D87" s="4" t="s">
        <v>74</v>
      </c>
      <c r="E87" s="4" t="s">
        <v>75</v>
      </c>
      <c r="F87" s="4" t="s">
        <v>76</v>
      </c>
      <c r="G87" s="4" t="s">
        <v>165</v>
      </c>
      <c r="H87" s="4" t="s">
        <v>78</v>
      </c>
      <c r="I87" s="4" t="s">
        <v>78</v>
      </c>
      <c r="J87" s="4" t="s">
        <v>244</v>
      </c>
      <c r="K87" s="4" t="s">
        <v>80</v>
      </c>
      <c r="L87" s="4" t="s">
        <v>81</v>
      </c>
      <c r="AL87" s="5">
        <v>0.0</v>
      </c>
      <c r="BI87" s="5">
        <v>0.0</v>
      </c>
      <c r="BM87" s="5">
        <v>0.0</v>
      </c>
      <c r="BO87" s="5">
        <v>0.0</v>
      </c>
    </row>
    <row r="88" ht="15.75" customHeight="1">
      <c r="A88" s="4" t="str">
        <f t="shared" si="1"/>
        <v>Liabilities|Portfolio investment, Debt securities, Long-term, Positions|Bosnia and Herzegovina|Half-yearly, semester</v>
      </c>
      <c r="B88" s="4" t="s">
        <v>72</v>
      </c>
      <c r="C88" s="4" t="s">
        <v>245</v>
      </c>
      <c r="D88" s="4" t="s">
        <v>74</v>
      </c>
      <c r="E88" s="4" t="s">
        <v>75</v>
      </c>
      <c r="F88" s="4" t="s">
        <v>76</v>
      </c>
      <c r="G88" s="4" t="s">
        <v>77</v>
      </c>
      <c r="H88" s="4" t="s">
        <v>78</v>
      </c>
      <c r="I88" s="4" t="s">
        <v>78</v>
      </c>
      <c r="J88" s="4" t="s">
        <v>246</v>
      </c>
      <c r="K88" s="4" t="s">
        <v>80</v>
      </c>
      <c r="L88" s="4" t="s">
        <v>81</v>
      </c>
    </row>
    <row r="89" ht="15.75" customHeight="1">
      <c r="A89" s="4" t="str">
        <f t="shared" si="1"/>
        <v>Liabilities|Portfolio investment, Debt securities, Long-term, Positions|Tunisia|Half-yearly, semester</v>
      </c>
      <c r="B89" s="4" t="s">
        <v>72</v>
      </c>
      <c r="C89" s="4" t="s">
        <v>247</v>
      </c>
      <c r="D89" s="4" t="s">
        <v>74</v>
      </c>
      <c r="E89" s="4" t="s">
        <v>75</v>
      </c>
      <c r="F89" s="4" t="s">
        <v>76</v>
      </c>
      <c r="G89" s="4" t="s">
        <v>77</v>
      </c>
      <c r="H89" s="4" t="s">
        <v>78</v>
      </c>
      <c r="I89" s="4" t="s">
        <v>78</v>
      </c>
      <c r="J89" s="4" t="s">
        <v>248</v>
      </c>
      <c r="K89" s="4" t="s">
        <v>80</v>
      </c>
      <c r="L89" s="4" t="s">
        <v>81</v>
      </c>
    </row>
    <row r="90" ht="15.75" customHeight="1">
      <c r="A90" s="4" t="str">
        <f t="shared" si="1"/>
        <v>Liabilities|Portfolio investment, Debt securities, Positions|Haiti|Half-yearly, semester</v>
      </c>
      <c r="B90" s="4" t="s">
        <v>72</v>
      </c>
      <c r="C90" s="4" t="s">
        <v>249</v>
      </c>
      <c r="D90" s="4" t="s">
        <v>74</v>
      </c>
      <c r="E90" s="4" t="s">
        <v>75</v>
      </c>
      <c r="F90" s="4" t="s">
        <v>76</v>
      </c>
      <c r="G90" s="4" t="s">
        <v>165</v>
      </c>
      <c r="H90" s="4" t="s">
        <v>78</v>
      </c>
      <c r="I90" s="4" t="s">
        <v>78</v>
      </c>
      <c r="J90" s="4" t="s">
        <v>250</v>
      </c>
      <c r="K90" s="4" t="s">
        <v>80</v>
      </c>
      <c r="L90" s="4" t="s">
        <v>81</v>
      </c>
      <c r="AL90" s="5">
        <v>0.0</v>
      </c>
      <c r="BI90" s="5">
        <v>0.0</v>
      </c>
      <c r="BM90" s="5">
        <v>0.0</v>
      </c>
      <c r="BO90" s="5">
        <v>0.0</v>
      </c>
    </row>
    <row r="91" ht="15.75" customHeight="1">
      <c r="A91" s="4" t="str">
        <f t="shared" si="1"/>
        <v>Liabilities|Portfolio investment, Debt securities, Positions|Monaco|Half-yearly, semester</v>
      </c>
      <c r="B91" s="4" t="s">
        <v>72</v>
      </c>
      <c r="C91" s="4" t="s">
        <v>251</v>
      </c>
      <c r="D91" s="4" t="s">
        <v>74</v>
      </c>
      <c r="E91" s="4" t="s">
        <v>75</v>
      </c>
      <c r="F91" s="4" t="s">
        <v>76</v>
      </c>
      <c r="G91" s="4" t="s">
        <v>165</v>
      </c>
      <c r="H91" s="4" t="s">
        <v>78</v>
      </c>
      <c r="I91" s="4" t="s">
        <v>78</v>
      </c>
      <c r="J91" s="4" t="s">
        <v>252</v>
      </c>
      <c r="K91" s="4" t="s">
        <v>80</v>
      </c>
      <c r="L91" s="4" t="s">
        <v>81</v>
      </c>
      <c r="AL91" s="5">
        <v>0.0</v>
      </c>
      <c r="BI91" s="5">
        <v>0.0</v>
      </c>
      <c r="BM91" s="5">
        <v>0.0</v>
      </c>
      <c r="BO91" s="5">
        <v>0.0</v>
      </c>
    </row>
    <row r="92" ht="15.75" customHeight="1">
      <c r="A92" s="4" t="str">
        <f t="shared" si="1"/>
        <v>Liabilities|Portfolio investment, Debt securities, Positions|Anguilla, United Kingdom-British Overseas Territory|Half-yearly, semester</v>
      </c>
      <c r="B92" s="4" t="s">
        <v>72</v>
      </c>
      <c r="C92" s="4" t="s">
        <v>253</v>
      </c>
      <c r="D92" s="4" t="s">
        <v>74</v>
      </c>
      <c r="E92" s="4" t="s">
        <v>75</v>
      </c>
      <c r="F92" s="4" t="s">
        <v>76</v>
      </c>
      <c r="G92" s="4" t="s">
        <v>165</v>
      </c>
      <c r="H92" s="4" t="s">
        <v>78</v>
      </c>
      <c r="I92" s="4" t="s">
        <v>78</v>
      </c>
      <c r="J92" s="4" t="s">
        <v>254</v>
      </c>
      <c r="K92" s="4" t="s">
        <v>80</v>
      </c>
      <c r="L92" s="4" t="s">
        <v>81</v>
      </c>
      <c r="AL92" s="5">
        <v>0.0</v>
      </c>
      <c r="BI92" s="5">
        <v>0.0</v>
      </c>
      <c r="BM92" s="5">
        <v>0.0</v>
      </c>
      <c r="BO92" s="5">
        <v>0.0</v>
      </c>
    </row>
    <row r="93" ht="15.75" customHeight="1">
      <c r="A93" s="4" t="str">
        <f t="shared" si="1"/>
        <v>Liabilities|Portfolio investment, Debt securities, Positions|Portugal|Half-yearly, semester</v>
      </c>
      <c r="B93" s="4" t="s">
        <v>72</v>
      </c>
      <c r="C93" s="4" t="s">
        <v>255</v>
      </c>
      <c r="D93" s="4" t="s">
        <v>74</v>
      </c>
      <c r="E93" s="4" t="s">
        <v>75</v>
      </c>
      <c r="F93" s="4" t="s">
        <v>76</v>
      </c>
      <c r="G93" s="4" t="s">
        <v>165</v>
      </c>
      <c r="H93" s="4" t="s">
        <v>78</v>
      </c>
      <c r="I93" s="4" t="s">
        <v>78</v>
      </c>
      <c r="J93" s="4" t="s">
        <v>256</v>
      </c>
      <c r="K93" s="4" t="s">
        <v>80</v>
      </c>
      <c r="L93" s="4" t="s">
        <v>81</v>
      </c>
      <c r="AL93" s="5">
        <v>0.0</v>
      </c>
      <c r="BI93" s="5">
        <v>0.0</v>
      </c>
      <c r="BM93" s="5">
        <v>0.0</v>
      </c>
      <c r="BO93" s="5">
        <v>0.0</v>
      </c>
    </row>
    <row r="94" ht="15.75" customHeight="1">
      <c r="A94" s="4" t="str">
        <f t="shared" si="1"/>
        <v>Liabilities|Portfolio investment, Debt securities, Positions|Honduras|Half-yearly, semester</v>
      </c>
      <c r="B94" s="4" t="s">
        <v>72</v>
      </c>
      <c r="C94" s="4" t="s">
        <v>257</v>
      </c>
      <c r="D94" s="4" t="s">
        <v>74</v>
      </c>
      <c r="E94" s="4" t="s">
        <v>75</v>
      </c>
      <c r="F94" s="4" t="s">
        <v>76</v>
      </c>
      <c r="G94" s="4" t="s">
        <v>165</v>
      </c>
      <c r="H94" s="4" t="s">
        <v>78</v>
      </c>
      <c r="I94" s="4" t="s">
        <v>78</v>
      </c>
      <c r="J94" s="4" t="s">
        <v>258</v>
      </c>
      <c r="K94" s="4" t="s">
        <v>80</v>
      </c>
      <c r="L94" s="4" t="s">
        <v>81</v>
      </c>
      <c r="AL94" s="5">
        <v>0.0</v>
      </c>
      <c r="BI94" s="5">
        <v>0.0</v>
      </c>
      <c r="BM94" s="5">
        <v>0.0</v>
      </c>
      <c r="BO94" s="5">
        <v>0.0</v>
      </c>
    </row>
    <row r="95" ht="15.75" customHeight="1">
      <c r="A95" s="4" t="str">
        <f t="shared" si="1"/>
        <v>Liabilities|Portfolio investment, Debt securities, Positions|Venezuela, República Bolivariana de|Half-yearly, semester</v>
      </c>
      <c r="B95" s="4" t="s">
        <v>72</v>
      </c>
      <c r="C95" s="4" t="s">
        <v>259</v>
      </c>
      <c r="D95" s="4" t="s">
        <v>74</v>
      </c>
      <c r="E95" s="4" t="s">
        <v>75</v>
      </c>
      <c r="F95" s="4" t="s">
        <v>76</v>
      </c>
      <c r="G95" s="4" t="s">
        <v>165</v>
      </c>
      <c r="H95" s="4" t="s">
        <v>78</v>
      </c>
      <c r="I95" s="4" t="s">
        <v>78</v>
      </c>
      <c r="J95" s="4" t="s">
        <v>133</v>
      </c>
      <c r="K95" s="4" t="s">
        <v>80</v>
      </c>
      <c r="L95" s="4" t="s">
        <v>81</v>
      </c>
      <c r="AL95" s="5">
        <v>0.0</v>
      </c>
      <c r="BI95" s="5">
        <v>0.0</v>
      </c>
      <c r="BM95" s="5">
        <v>0.0</v>
      </c>
      <c r="BO95" s="5">
        <v>0.0</v>
      </c>
    </row>
    <row r="96" ht="15.75" customHeight="1">
      <c r="A96" s="4" t="str">
        <f t="shared" si="1"/>
        <v>Liabilities|Portfolio investment, Debt securities, Positions|Chile|Half-yearly, semester</v>
      </c>
      <c r="B96" s="4" t="s">
        <v>72</v>
      </c>
      <c r="C96" s="4" t="s">
        <v>260</v>
      </c>
      <c r="D96" s="4" t="s">
        <v>74</v>
      </c>
      <c r="E96" s="4" t="s">
        <v>75</v>
      </c>
      <c r="F96" s="4" t="s">
        <v>76</v>
      </c>
      <c r="G96" s="4" t="s">
        <v>165</v>
      </c>
      <c r="H96" s="4" t="s">
        <v>78</v>
      </c>
      <c r="I96" s="4" t="s">
        <v>78</v>
      </c>
      <c r="J96" s="4" t="s">
        <v>135</v>
      </c>
      <c r="K96" s="4" t="s">
        <v>80</v>
      </c>
      <c r="L96" s="4" t="s">
        <v>81</v>
      </c>
      <c r="BI96" s="5">
        <v>0.0</v>
      </c>
      <c r="BM96" s="5">
        <v>0.0</v>
      </c>
      <c r="BO96" s="5">
        <v>0.0</v>
      </c>
    </row>
    <row r="97" ht="15.75" customHeight="1">
      <c r="A97" s="4" t="str">
        <f t="shared" si="1"/>
        <v>Liabilities|Portfolio investment, Debt securities, Long-term, Positions|Brazil|Half-yearly, semester</v>
      </c>
      <c r="B97" s="4" t="s">
        <v>72</v>
      </c>
      <c r="C97" s="4" t="s">
        <v>261</v>
      </c>
      <c r="D97" s="4" t="s">
        <v>74</v>
      </c>
      <c r="E97" s="4" t="s">
        <v>75</v>
      </c>
      <c r="F97" s="4" t="s">
        <v>76</v>
      </c>
      <c r="G97" s="4" t="s">
        <v>77</v>
      </c>
      <c r="H97" s="4" t="s">
        <v>78</v>
      </c>
      <c r="I97" s="4" t="s">
        <v>78</v>
      </c>
      <c r="J97" s="4" t="s">
        <v>217</v>
      </c>
      <c r="K97" s="4" t="s">
        <v>80</v>
      </c>
      <c r="L97" s="4" t="s">
        <v>81</v>
      </c>
    </row>
    <row r="98" ht="15.75" customHeight="1">
      <c r="A98" s="4" t="str">
        <f t="shared" si="1"/>
        <v>Liabilities|Portfolio investment, Debt securities, Positions|Kiribati|Half-yearly, semester</v>
      </c>
      <c r="B98" s="4" t="s">
        <v>72</v>
      </c>
      <c r="C98" s="4" t="s">
        <v>262</v>
      </c>
      <c r="D98" s="4" t="s">
        <v>74</v>
      </c>
      <c r="E98" s="4" t="s">
        <v>75</v>
      </c>
      <c r="F98" s="4" t="s">
        <v>76</v>
      </c>
      <c r="G98" s="4" t="s">
        <v>165</v>
      </c>
      <c r="H98" s="4" t="s">
        <v>78</v>
      </c>
      <c r="I98" s="4" t="s">
        <v>78</v>
      </c>
      <c r="J98" s="4" t="s">
        <v>263</v>
      </c>
      <c r="K98" s="4" t="s">
        <v>80</v>
      </c>
      <c r="L98" s="4" t="s">
        <v>81</v>
      </c>
      <c r="AL98" s="5">
        <v>0.0</v>
      </c>
      <c r="BI98" s="5">
        <v>0.0</v>
      </c>
      <c r="BM98" s="5">
        <v>0.0</v>
      </c>
      <c r="BO98" s="5">
        <v>0.0</v>
      </c>
    </row>
    <row r="99" ht="15.75" customHeight="1">
      <c r="A99" s="4" t="str">
        <f t="shared" si="1"/>
        <v>Liabilities|Portfolio investment, Debt securities, Positions|Turks and Caicos Islands|Half-yearly, semester</v>
      </c>
      <c r="B99" s="4" t="s">
        <v>72</v>
      </c>
      <c r="C99" s="4" t="s">
        <v>264</v>
      </c>
      <c r="D99" s="4" t="s">
        <v>74</v>
      </c>
      <c r="E99" s="4" t="s">
        <v>75</v>
      </c>
      <c r="F99" s="4" t="s">
        <v>76</v>
      </c>
      <c r="G99" s="4" t="s">
        <v>165</v>
      </c>
      <c r="H99" s="4" t="s">
        <v>78</v>
      </c>
      <c r="I99" s="4" t="s">
        <v>78</v>
      </c>
      <c r="J99" s="4" t="s">
        <v>89</v>
      </c>
      <c r="K99" s="4" t="s">
        <v>80</v>
      </c>
      <c r="L99" s="4" t="s">
        <v>81</v>
      </c>
      <c r="AL99" s="5">
        <v>0.0</v>
      </c>
      <c r="BI99" s="5">
        <v>0.0</v>
      </c>
      <c r="BM99" s="5">
        <v>0.0</v>
      </c>
      <c r="BO99" s="5">
        <v>0.0</v>
      </c>
    </row>
    <row r="100" ht="15.75" customHeight="1">
      <c r="A100" s="4" t="str">
        <f t="shared" si="1"/>
        <v>Liabilities|Portfolio investment, Debt securities, Positions|Marshall Islands, Republic of the|Half-yearly, semester</v>
      </c>
      <c r="B100" s="4" t="s">
        <v>72</v>
      </c>
      <c r="C100" s="4" t="s">
        <v>265</v>
      </c>
      <c r="D100" s="4" t="s">
        <v>74</v>
      </c>
      <c r="E100" s="4" t="s">
        <v>75</v>
      </c>
      <c r="F100" s="4" t="s">
        <v>76</v>
      </c>
      <c r="G100" s="4" t="s">
        <v>165</v>
      </c>
      <c r="H100" s="4" t="s">
        <v>78</v>
      </c>
      <c r="I100" s="4" t="s">
        <v>78</v>
      </c>
      <c r="J100" s="4" t="s">
        <v>266</v>
      </c>
      <c r="K100" s="4" t="s">
        <v>80</v>
      </c>
      <c r="L100" s="4" t="s">
        <v>81</v>
      </c>
      <c r="AL100" s="5">
        <v>0.0</v>
      </c>
      <c r="BI100" s="5">
        <v>0.0</v>
      </c>
      <c r="BM100" s="5">
        <v>0.0</v>
      </c>
      <c r="BO100" s="5">
        <v>0.0</v>
      </c>
    </row>
    <row r="101" ht="15.75" customHeight="1">
      <c r="A101" s="4" t="str">
        <f t="shared" si="1"/>
        <v>Liabilities|Portfolio investment, Debt securities, Positions|Ghana|Half-yearly, semester</v>
      </c>
      <c r="B101" s="4" t="s">
        <v>72</v>
      </c>
      <c r="C101" s="4" t="s">
        <v>267</v>
      </c>
      <c r="D101" s="4" t="s">
        <v>74</v>
      </c>
      <c r="E101" s="4" t="s">
        <v>75</v>
      </c>
      <c r="F101" s="4" t="s">
        <v>76</v>
      </c>
      <c r="G101" s="4" t="s">
        <v>165</v>
      </c>
      <c r="H101" s="4" t="s">
        <v>78</v>
      </c>
      <c r="I101" s="4" t="s">
        <v>78</v>
      </c>
      <c r="J101" s="4" t="s">
        <v>268</v>
      </c>
      <c r="K101" s="4" t="s">
        <v>80</v>
      </c>
      <c r="L101" s="4" t="s">
        <v>81</v>
      </c>
      <c r="AL101" s="5">
        <v>0.0</v>
      </c>
      <c r="BI101" s="5">
        <v>0.0</v>
      </c>
      <c r="BM101" s="5">
        <v>0.0</v>
      </c>
      <c r="BO101" s="5">
        <v>0.0</v>
      </c>
    </row>
    <row r="102" ht="15.75" customHeight="1">
      <c r="A102" s="4" t="str">
        <f t="shared" si="1"/>
        <v>Liabilities|Portfolio investment, Debt securities, Positions|San Marino, Republic of|Half-yearly, semester</v>
      </c>
      <c r="B102" s="4" t="s">
        <v>72</v>
      </c>
      <c r="C102" s="4" t="s">
        <v>269</v>
      </c>
      <c r="D102" s="4" t="s">
        <v>74</v>
      </c>
      <c r="E102" s="4" t="s">
        <v>75</v>
      </c>
      <c r="F102" s="4" t="s">
        <v>76</v>
      </c>
      <c r="G102" s="4" t="s">
        <v>165</v>
      </c>
      <c r="H102" s="4" t="s">
        <v>78</v>
      </c>
      <c r="I102" s="4" t="s">
        <v>78</v>
      </c>
      <c r="J102" s="4" t="s">
        <v>270</v>
      </c>
      <c r="K102" s="4" t="s">
        <v>80</v>
      </c>
      <c r="L102" s="4" t="s">
        <v>81</v>
      </c>
      <c r="AL102" s="5">
        <v>0.0</v>
      </c>
      <c r="BI102" s="5">
        <v>0.0</v>
      </c>
      <c r="BM102" s="5">
        <v>0.0</v>
      </c>
      <c r="BO102" s="5">
        <v>0.0</v>
      </c>
    </row>
    <row r="103" ht="15.75" customHeight="1">
      <c r="A103" s="4" t="str">
        <f t="shared" si="1"/>
        <v>Liabilities|Portfolio investment, Debt securities, Positions|Uganda|Half-yearly, semester</v>
      </c>
      <c r="B103" s="4" t="s">
        <v>72</v>
      </c>
      <c r="C103" s="4" t="s">
        <v>271</v>
      </c>
      <c r="D103" s="4" t="s">
        <v>74</v>
      </c>
      <c r="E103" s="4" t="s">
        <v>75</v>
      </c>
      <c r="F103" s="4" t="s">
        <v>76</v>
      </c>
      <c r="G103" s="4" t="s">
        <v>165</v>
      </c>
      <c r="H103" s="4" t="s">
        <v>78</v>
      </c>
      <c r="I103" s="4" t="s">
        <v>78</v>
      </c>
      <c r="J103" s="4" t="s">
        <v>121</v>
      </c>
      <c r="K103" s="4" t="s">
        <v>80</v>
      </c>
      <c r="L103" s="4" t="s">
        <v>81</v>
      </c>
      <c r="BI103" s="5">
        <v>0.0</v>
      </c>
      <c r="BM103" s="5">
        <v>0.0</v>
      </c>
      <c r="BO103" s="5">
        <v>0.0</v>
      </c>
    </row>
    <row r="104" ht="15.75" customHeight="1">
      <c r="A104" s="4" t="str">
        <f t="shared" si="1"/>
        <v>Liabilities|Portfolio investment, Debt securities, Positions|Sierra Leone|Half-yearly, semester</v>
      </c>
      <c r="B104" s="4" t="s">
        <v>72</v>
      </c>
      <c r="C104" s="4" t="s">
        <v>272</v>
      </c>
      <c r="D104" s="4" t="s">
        <v>74</v>
      </c>
      <c r="E104" s="4" t="s">
        <v>75</v>
      </c>
      <c r="F104" s="4" t="s">
        <v>76</v>
      </c>
      <c r="G104" s="4" t="s">
        <v>165</v>
      </c>
      <c r="H104" s="4" t="s">
        <v>78</v>
      </c>
      <c r="I104" s="4" t="s">
        <v>78</v>
      </c>
      <c r="J104" s="4" t="s">
        <v>273</v>
      </c>
      <c r="K104" s="4" t="s">
        <v>80</v>
      </c>
      <c r="L104" s="4" t="s">
        <v>81</v>
      </c>
      <c r="AL104" s="5">
        <v>0.0</v>
      </c>
      <c r="BI104" s="5">
        <v>0.0</v>
      </c>
      <c r="BM104" s="5">
        <v>0.0</v>
      </c>
      <c r="BO104" s="5">
        <v>0.0</v>
      </c>
    </row>
    <row r="105" ht="15.75" customHeight="1">
      <c r="A105" s="4" t="str">
        <f t="shared" si="1"/>
        <v>Liabilities|Portfolio investment, Debt securities, Positions|Guyana|Half-yearly, semester</v>
      </c>
      <c r="B105" s="4" t="s">
        <v>72</v>
      </c>
      <c r="C105" s="4" t="s">
        <v>274</v>
      </c>
      <c r="D105" s="4" t="s">
        <v>74</v>
      </c>
      <c r="E105" s="4" t="s">
        <v>75</v>
      </c>
      <c r="F105" s="4" t="s">
        <v>76</v>
      </c>
      <c r="G105" s="4" t="s">
        <v>165</v>
      </c>
      <c r="H105" s="4" t="s">
        <v>78</v>
      </c>
      <c r="I105" s="4" t="s">
        <v>78</v>
      </c>
      <c r="J105" s="4" t="s">
        <v>275</v>
      </c>
      <c r="K105" s="4" t="s">
        <v>80</v>
      </c>
      <c r="L105" s="4" t="s">
        <v>81</v>
      </c>
      <c r="AL105" s="5">
        <v>0.0</v>
      </c>
      <c r="BI105" s="5">
        <v>0.0</v>
      </c>
      <c r="BM105" s="5">
        <v>0.0</v>
      </c>
      <c r="BO105" s="5">
        <v>0.0</v>
      </c>
    </row>
    <row r="106" ht="15.75" customHeight="1">
      <c r="A106" s="4" t="str">
        <f t="shared" si="1"/>
        <v>Liabilities|Portfolio investment, Debt securities, Positions|Togo|Half-yearly, semester</v>
      </c>
      <c r="B106" s="4" t="s">
        <v>72</v>
      </c>
      <c r="C106" s="4" t="s">
        <v>276</v>
      </c>
      <c r="D106" s="4" t="s">
        <v>74</v>
      </c>
      <c r="E106" s="4" t="s">
        <v>75</v>
      </c>
      <c r="F106" s="4" t="s">
        <v>76</v>
      </c>
      <c r="G106" s="4" t="s">
        <v>165</v>
      </c>
      <c r="H106" s="4" t="s">
        <v>78</v>
      </c>
      <c r="I106" s="4" t="s">
        <v>78</v>
      </c>
      <c r="J106" s="4" t="s">
        <v>277</v>
      </c>
      <c r="K106" s="4" t="s">
        <v>80</v>
      </c>
      <c r="L106" s="4" t="s">
        <v>81</v>
      </c>
      <c r="AL106" s="5">
        <v>0.0</v>
      </c>
      <c r="BI106" s="5">
        <v>0.0</v>
      </c>
      <c r="BM106" s="5">
        <v>0.0</v>
      </c>
      <c r="BO106" s="5">
        <v>0.0</v>
      </c>
    </row>
    <row r="107" ht="15.75" customHeight="1">
      <c r="A107" s="4" t="str">
        <f t="shared" si="1"/>
        <v>Liabilities|Portfolio investment, Debt securities, Positions|Cameroon|Half-yearly, semester</v>
      </c>
      <c r="B107" s="4" t="s">
        <v>72</v>
      </c>
      <c r="C107" s="4" t="s">
        <v>278</v>
      </c>
      <c r="D107" s="4" t="s">
        <v>74</v>
      </c>
      <c r="E107" s="4" t="s">
        <v>75</v>
      </c>
      <c r="F107" s="4" t="s">
        <v>76</v>
      </c>
      <c r="G107" s="4" t="s">
        <v>165</v>
      </c>
      <c r="H107" s="4" t="s">
        <v>78</v>
      </c>
      <c r="I107" s="4" t="s">
        <v>78</v>
      </c>
      <c r="J107" s="4" t="s">
        <v>279</v>
      </c>
      <c r="K107" s="4" t="s">
        <v>80</v>
      </c>
      <c r="L107" s="4" t="s">
        <v>81</v>
      </c>
      <c r="AL107" s="5">
        <v>0.0</v>
      </c>
      <c r="BI107" s="5">
        <v>0.0</v>
      </c>
      <c r="BM107" s="5">
        <v>0.0</v>
      </c>
      <c r="BO107" s="5">
        <v>0.0</v>
      </c>
    </row>
    <row r="108" ht="15.75" customHeight="1">
      <c r="A108" s="4" t="str">
        <f t="shared" si="1"/>
        <v>Liabilities|Portfolio investment, Debt securities, Positions|Afghanistan, Islamic Republic of|Half-yearly, semester</v>
      </c>
      <c r="B108" s="4" t="s">
        <v>72</v>
      </c>
      <c r="C108" s="4" t="s">
        <v>280</v>
      </c>
      <c r="D108" s="4" t="s">
        <v>74</v>
      </c>
      <c r="E108" s="4" t="s">
        <v>75</v>
      </c>
      <c r="F108" s="4" t="s">
        <v>76</v>
      </c>
      <c r="G108" s="4" t="s">
        <v>165</v>
      </c>
      <c r="H108" s="4" t="s">
        <v>78</v>
      </c>
      <c r="I108" s="4" t="s">
        <v>78</v>
      </c>
      <c r="J108" s="4" t="s">
        <v>281</v>
      </c>
      <c r="K108" s="4" t="s">
        <v>80</v>
      </c>
      <c r="L108" s="4" t="s">
        <v>81</v>
      </c>
      <c r="AL108" s="5">
        <v>0.0</v>
      </c>
      <c r="BI108" s="5">
        <v>0.0</v>
      </c>
      <c r="BM108" s="5">
        <v>0.0</v>
      </c>
      <c r="BO108" s="5">
        <v>0.0</v>
      </c>
    </row>
    <row r="109" ht="15.75" customHeight="1">
      <c r="A109" s="4" t="str">
        <f t="shared" si="1"/>
        <v>Liabilities|Portfolio investment, Debt securities, Positions|Zimbabwe|Half-yearly, semester</v>
      </c>
      <c r="B109" s="4" t="s">
        <v>72</v>
      </c>
      <c r="C109" s="4" t="s">
        <v>282</v>
      </c>
      <c r="D109" s="4" t="s">
        <v>74</v>
      </c>
      <c r="E109" s="4" t="s">
        <v>75</v>
      </c>
      <c r="F109" s="4" t="s">
        <v>76</v>
      </c>
      <c r="G109" s="4" t="s">
        <v>165</v>
      </c>
      <c r="H109" s="4" t="s">
        <v>78</v>
      </c>
      <c r="I109" s="4" t="s">
        <v>78</v>
      </c>
      <c r="J109" s="4" t="s">
        <v>101</v>
      </c>
      <c r="K109" s="4" t="s">
        <v>80</v>
      </c>
      <c r="L109" s="4" t="s">
        <v>81</v>
      </c>
      <c r="AL109" s="5">
        <v>0.0</v>
      </c>
      <c r="BI109" s="5">
        <v>0.0</v>
      </c>
      <c r="BM109" s="5">
        <v>0.0</v>
      </c>
      <c r="BO109" s="5">
        <v>0.0</v>
      </c>
    </row>
    <row r="110" ht="15.75" customHeight="1">
      <c r="A110" s="4" t="str">
        <f t="shared" si="1"/>
        <v>Liabilities|Portfolio investment, Debt securities, Positions|Zambia|Half-yearly, semester</v>
      </c>
      <c r="B110" s="4" t="s">
        <v>72</v>
      </c>
      <c r="C110" s="4" t="s">
        <v>283</v>
      </c>
      <c r="D110" s="4" t="s">
        <v>74</v>
      </c>
      <c r="E110" s="4" t="s">
        <v>75</v>
      </c>
      <c r="F110" s="4" t="s">
        <v>76</v>
      </c>
      <c r="G110" s="4" t="s">
        <v>165</v>
      </c>
      <c r="H110" s="4" t="s">
        <v>78</v>
      </c>
      <c r="I110" s="4" t="s">
        <v>78</v>
      </c>
      <c r="J110" s="4" t="s">
        <v>284</v>
      </c>
      <c r="K110" s="4" t="s">
        <v>80</v>
      </c>
      <c r="L110" s="4" t="s">
        <v>81</v>
      </c>
      <c r="AL110" s="5">
        <v>0.0</v>
      </c>
      <c r="BI110" s="5">
        <v>0.0</v>
      </c>
      <c r="BM110" s="5">
        <v>0.0</v>
      </c>
      <c r="BO110" s="5">
        <v>0.0</v>
      </c>
    </row>
    <row r="111" ht="15.75" customHeight="1">
      <c r="A111" s="4" t="str">
        <f t="shared" si="1"/>
        <v>Liabilities|Portfolio investment, Debt securities, Positions|Paraguay|Half-yearly, semester</v>
      </c>
      <c r="B111" s="4" t="s">
        <v>72</v>
      </c>
      <c r="C111" s="4" t="s">
        <v>285</v>
      </c>
      <c r="D111" s="4" t="s">
        <v>74</v>
      </c>
      <c r="E111" s="4" t="s">
        <v>75</v>
      </c>
      <c r="F111" s="4" t="s">
        <v>76</v>
      </c>
      <c r="G111" s="4" t="s">
        <v>165</v>
      </c>
      <c r="H111" s="4" t="s">
        <v>78</v>
      </c>
      <c r="I111" s="4" t="s">
        <v>78</v>
      </c>
      <c r="J111" s="4" t="s">
        <v>286</v>
      </c>
      <c r="K111" s="4" t="s">
        <v>80</v>
      </c>
      <c r="L111" s="4" t="s">
        <v>81</v>
      </c>
      <c r="AL111" s="5">
        <v>0.0</v>
      </c>
      <c r="BI111" s="5">
        <v>0.0</v>
      </c>
      <c r="BM111" s="5">
        <v>0.0</v>
      </c>
      <c r="BO111" s="5">
        <v>0.0</v>
      </c>
    </row>
    <row r="112" ht="15.75" customHeight="1">
      <c r="A112" s="4" t="str">
        <f t="shared" si="1"/>
        <v>Liabilities|Portfolio investment, Debt securities, Positions|British Virgin Islands|Half-yearly, semester</v>
      </c>
      <c r="B112" s="4" t="s">
        <v>72</v>
      </c>
      <c r="C112" s="4" t="s">
        <v>287</v>
      </c>
      <c r="D112" s="4" t="s">
        <v>74</v>
      </c>
      <c r="E112" s="4" t="s">
        <v>75</v>
      </c>
      <c r="F112" s="4" t="s">
        <v>76</v>
      </c>
      <c r="G112" s="4" t="s">
        <v>165</v>
      </c>
      <c r="H112" s="4" t="s">
        <v>78</v>
      </c>
      <c r="I112" s="4" t="s">
        <v>78</v>
      </c>
      <c r="J112" s="4" t="s">
        <v>174</v>
      </c>
      <c r="K112" s="4" t="s">
        <v>80</v>
      </c>
      <c r="L112" s="4" t="s">
        <v>81</v>
      </c>
      <c r="AL112" s="5">
        <v>0.0</v>
      </c>
      <c r="BI112" s="5">
        <v>0.0</v>
      </c>
      <c r="BM112" s="5">
        <v>0.0</v>
      </c>
      <c r="BO112" s="5">
        <v>0.0</v>
      </c>
    </row>
    <row r="113" ht="15.75" customHeight="1">
      <c r="A113" s="4" t="str">
        <f t="shared" si="1"/>
        <v>Liabilities|Portfolio investment, Debt securities, Positions|Liberia|Half-yearly, semester</v>
      </c>
      <c r="B113" s="4" t="s">
        <v>72</v>
      </c>
      <c r="C113" s="4" t="s">
        <v>288</v>
      </c>
      <c r="D113" s="4" t="s">
        <v>74</v>
      </c>
      <c r="E113" s="4" t="s">
        <v>75</v>
      </c>
      <c r="F113" s="4" t="s">
        <v>76</v>
      </c>
      <c r="G113" s="4" t="s">
        <v>165</v>
      </c>
      <c r="H113" s="4" t="s">
        <v>78</v>
      </c>
      <c r="I113" s="4" t="s">
        <v>78</v>
      </c>
      <c r="J113" s="4" t="s">
        <v>289</v>
      </c>
      <c r="K113" s="4" t="s">
        <v>80</v>
      </c>
      <c r="L113" s="4" t="s">
        <v>81</v>
      </c>
      <c r="AL113" s="5">
        <v>0.0</v>
      </c>
      <c r="BI113" s="5">
        <v>0.0</v>
      </c>
      <c r="BM113" s="5">
        <v>0.0</v>
      </c>
      <c r="BO113" s="5">
        <v>0.0</v>
      </c>
    </row>
    <row r="114" ht="15.75" customHeight="1">
      <c r="A114" s="4" t="str">
        <f t="shared" si="1"/>
        <v>Liabilities|Portfolio investment, Debt securities, Positions|Guadeloupe|Half-yearly, semester</v>
      </c>
      <c r="B114" s="4" t="s">
        <v>72</v>
      </c>
      <c r="C114" s="4" t="s">
        <v>290</v>
      </c>
      <c r="D114" s="4" t="s">
        <v>74</v>
      </c>
      <c r="E114" s="4" t="s">
        <v>75</v>
      </c>
      <c r="F114" s="4" t="s">
        <v>76</v>
      </c>
      <c r="G114" s="4" t="s">
        <v>165</v>
      </c>
      <c r="H114" s="4" t="s">
        <v>78</v>
      </c>
      <c r="I114" s="4" t="s">
        <v>78</v>
      </c>
      <c r="J114" s="4" t="s">
        <v>291</v>
      </c>
      <c r="K114" s="4" t="s">
        <v>80</v>
      </c>
      <c r="L114" s="4" t="s">
        <v>81</v>
      </c>
      <c r="AL114" s="5">
        <v>0.0</v>
      </c>
      <c r="BI114" s="5">
        <v>0.0</v>
      </c>
      <c r="BM114" s="5">
        <v>0.0</v>
      </c>
      <c r="BO114" s="5">
        <v>0.0</v>
      </c>
    </row>
    <row r="115" ht="15.75" customHeight="1">
      <c r="A115" s="4" t="str">
        <f t="shared" si="1"/>
        <v>Liabilities|Portfolio investment, Debt securities, Positions|Indonesia|Half-yearly, semester</v>
      </c>
      <c r="B115" s="4" t="s">
        <v>72</v>
      </c>
      <c r="C115" s="4" t="s">
        <v>292</v>
      </c>
      <c r="D115" s="4" t="s">
        <v>74</v>
      </c>
      <c r="E115" s="4" t="s">
        <v>75</v>
      </c>
      <c r="F115" s="4" t="s">
        <v>76</v>
      </c>
      <c r="G115" s="4" t="s">
        <v>165</v>
      </c>
      <c r="H115" s="4" t="s">
        <v>78</v>
      </c>
      <c r="I115" s="4" t="s">
        <v>78</v>
      </c>
      <c r="J115" s="4" t="s">
        <v>119</v>
      </c>
      <c r="K115" s="4" t="s">
        <v>80</v>
      </c>
      <c r="L115" s="4" t="s">
        <v>81</v>
      </c>
      <c r="AL115" s="5">
        <v>0.0</v>
      </c>
      <c r="BI115" s="5">
        <v>0.0</v>
      </c>
      <c r="BM115" s="5">
        <v>0.0</v>
      </c>
      <c r="BO115" s="5">
        <v>0.0</v>
      </c>
    </row>
    <row r="116" ht="15.75" customHeight="1">
      <c r="A116" s="4" t="str">
        <f t="shared" si="1"/>
        <v>Liabilities|Portfolio investment, Debt securities, Positions|Mauritania, Islamic Republic of|Half-yearly, semester</v>
      </c>
      <c r="B116" s="4" t="s">
        <v>72</v>
      </c>
      <c r="C116" s="4" t="s">
        <v>293</v>
      </c>
      <c r="D116" s="4" t="s">
        <v>74</v>
      </c>
      <c r="E116" s="4" t="s">
        <v>75</v>
      </c>
      <c r="F116" s="4" t="s">
        <v>76</v>
      </c>
      <c r="G116" s="4" t="s">
        <v>165</v>
      </c>
      <c r="H116" s="4" t="s">
        <v>78</v>
      </c>
      <c r="I116" s="4" t="s">
        <v>78</v>
      </c>
      <c r="J116" s="4" t="s">
        <v>294</v>
      </c>
      <c r="K116" s="4" t="s">
        <v>80</v>
      </c>
      <c r="L116" s="4" t="s">
        <v>81</v>
      </c>
      <c r="AL116" s="5">
        <v>0.0</v>
      </c>
      <c r="BI116" s="5">
        <v>0.0</v>
      </c>
      <c r="BM116" s="5">
        <v>0.0</v>
      </c>
      <c r="BO116" s="5">
        <v>0.0</v>
      </c>
    </row>
    <row r="117" ht="15.75" customHeight="1">
      <c r="A117" s="4" t="str">
        <f t="shared" si="1"/>
        <v>Liabilities|Portfolio investment, Debt securities, Positions|Brunei Darussalam|Half-yearly, semester</v>
      </c>
      <c r="B117" s="4" t="s">
        <v>72</v>
      </c>
      <c r="C117" s="4" t="s">
        <v>295</v>
      </c>
      <c r="D117" s="4" t="s">
        <v>74</v>
      </c>
      <c r="E117" s="4" t="s">
        <v>75</v>
      </c>
      <c r="F117" s="4" t="s">
        <v>76</v>
      </c>
      <c r="G117" s="4" t="s">
        <v>165</v>
      </c>
      <c r="H117" s="4" t="s">
        <v>78</v>
      </c>
      <c r="I117" s="4" t="s">
        <v>78</v>
      </c>
      <c r="J117" s="4" t="s">
        <v>143</v>
      </c>
      <c r="K117" s="4" t="s">
        <v>80</v>
      </c>
      <c r="L117" s="4" t="s">
        <v>81</v>
      </c>
      <c r="AL117" s="5">
        <v>0.0</v>
      </c>
      <c r="BI117" s="5">
        <v>0.0</v>
      </c>
      <c r="BM117" s="5">
        <v>0.0</v>
      </c>
      <c r="BO117" s="5">
        <v>0.0</v>
      </c>
    </row>
    <row r="118" ht="15.75" customHeight="1">
      <c r="A118" s="4" t="str">
        <f t="shared" si="1"/>
        <v>Liabilities|Portfolio investment, Debt securities, Positions|Cyprus|Half-yearly, semester</v>
      </c>
      <c r="B118" s="4" t="s">
        <v>72</v>
      </c>
      <c r="C118" s="4" t="s">
        <v>296</v>
      </c>
      <c r="D118" s="4" t="s">
        <v>74</v>
      </c>
      <c r="E118" s="4" t="s">
        <v>75</v>
      </c>
      <c r="F118" s="4" t="s">
        <v>76</v>
      </c>
      <c r="G118" s="4" t="s">
        <v>165</v>
      </c>
      <c r="H118" s="4" t="s">
        <v>78</v>
      </c>
      <c r="I118" s="4" t="s">
        <v>78</v>
      </c>
      <c r="J118" s="4" t="s">
        <v>208</v>
      </c>
      <c r="K118" s="4" t="s">
        <v>80</v>
      </c>
      <c r="L118" s="4" t="s">
        <v>81</v>
      </c>
      <c r="AL118" s="5">
        <v>0.0</v>
      </c>
      <c r="BI118" s="5">
        <v>0.0</v>
      </c>
      <c r="BM118" s="5">
        <v>0.0</v>
      </c>
      <c r="BO118" s="5">
        <v>0.0</v>
      </c>
    </row>
    <row r="119" ht="15.75" customHeight="1">
      <c r="A119" s="4" t="str">
        <f t="shared" si="1"/>
        <v>Liabilities|Portfolio investment, Debt securities, Positions|Kyrgyz Republic|Half-yearly, semester</v>
      </c>
      <c r="B119" s="4" t="s">
        <v>72</v>
      </c>
      <c r="C119" s="4" t="s">
        <v>297</v>
      </c>
      <c r="D119" s="4" t="s">
        <v>74</v>
      </c>
      <c r="E119" s="4" t="s">
        <v>75</v>
      </c>
      <c r="F119" s="4" t="s">
        <v>76</v>
      </c>
      <c r="G119" s="4" t="s">
        <v>165</v>
      </c>
      <c r="H119" s="4" t="s">
        <v>78</v>
      </c>
      <c r="I119" s="4" t="s">
        <v>78</v>
      </c>
      <c r="J119" s="4" t="s">
        <v>298</v>
      </c>
      <c r="K119" s="4" t="s">
        <v>80</v>
      </c>
      <c r="L119" s="4" t="s">
        <v>81</v>
      </c>
      <c r="AL119" s="5">
        <v>0.0</v>
      </c>
      <c r="BI119" s="5">
        <v>0.0</v>
      </c>
      <c r="BM119" s="5">
        <v>0.0</v>
      </c>
      <c r="BO119" s="5">
        <v>0.0</v>
      </c>
    </row>
    <row r="120" ht="15.75" customHeight="1">
      <c r="A120" s="4" t="str">
        <f t="shared" si="1"/>
        <v>Liabilities|Portfolio investment, Debt securities, Positions|Gambia, The|Half-yearly, semester</v>
      </c>
      <c r="B120" s="4" t="s">
        <v>72</v>
      </c>
      <c r="C120" s="4" t="s">
        <v>299</v>
      </c>
      <c r="D120" s="4" t="s">
        <v>74</v>
      </c>
      <c r="E120" s="4" t="s">
        <v>75</v>
      </c>
      <c r="F120" s="4" t="s">
        <v>76</v>
      </c>
      <c r="G120" s="4" t="s">
        <v>165</v>
      </c>
      <c r="H120" s="4" t="s">
        <v>78</v>
      </c>
      <c r="I120" s="4" t="s">
        <v>78</v>
      </c>
      <c r="J120" s="4" t="s">
        <v>300</v>
      </c>
      <c r="K120" s="4" t="s">
        <v>80</v>
      </c>
      <c r="L120" s="4" t="s">
        <v>81</v>
      </c>
      <c r="AL120" s="5">
        <v>0.0</v>
      </c>
      <c r="BI120" s="5">
        <v>0.0</v>
      </c>
      <c r="BM120" s="5">
        <v>0.0</v>
      </c>
      <c r="BO120" s="5">
        <v>0.0</v>
      </c>
    </row>
    <row r="121" ht="15.75" customHeight="1">
      <c r="A121" s="4" t="str">
        <f t="shared" si="1"/>
        <v>Liabilities|Portfolio investment, Debt securities, Positions|Colombia|Half-yearly, semester</v>
      </c>
      <c r="B121" s="4" t="s">
        <v>72</v>
      </c>
      <c r="C121" s="4" t="s">
        <v>301</v>
      </c>
      <c r="D121" s="4" t="s">
        <v>74</v>
      </c>
      <c r="E121" s="4" t="s">
        <v>75</v>
      </c>
      <c r="F121" s="4" t="s">
        <v>76</v>
      </c>
      <c r="G121" s="4" t="s">
        <v>165</v>
      </c>
      <c r="H121" s="4" t="s">
        <v>78</v>
      </c>
      <c r="I121" s="4" t="s">
        <v>78</v>
      </c>
      <c r="J121" s="4" t="s">
        <v>302</v>
      </c>
      <c r="K121" s="4" t="s">
        <v>80</v>
      </c>
      <c r="L121" s="4" t="s">
        <v>81</v>
      </c>
      <c r="AL121" s="5">
        <v>0.0</v>
      </c>
      <c r="BI121" s="5">
        <v>0.0</v>
      </c>
      <c r="BM121" s="5">
        <v>0.0</v>
      </c>
      <c r="BO121" s="5">
        <v>0.0</v>
      </c>
    </row>
    <row r="122" ht="15.75" customHeight="1">
      <c r="A122" s="4" t="str">
        <f t="shared" si="1"/>
        <v>Liabilities|Portfolio investment, Debt securities, Positions|Jersey|Half-yearly, semester</v>
      </c>
      <c r="B122" s="4" t="s">
        <v>72</v>
      </c>
      <c r="C122" s="4" t="s">
        <v>303</v>
      </c>
      <c r="D122" s="4" t="s">
        <v>74</v>
      </c>
      <c r="E122" s="4" t="s">
        <v>75</v>
      </c>
      <c r="F122" s="4" t="s">
        <v>76</v>
      </c>
      <c r="G122" s="4" t="s">
        <v>165</v>
      </c>
      <c r="H122" s="4" t="s">
        <v>78</v>
      </c>
      <c r="I122" s="4" t="s">
        <v>78</v>
      </c>
      <c r="J122" s="4" t="s">
        <v>304</v>
      </c>
      <c r="K122" s="4" t="s">
        <v>80</v>
      </c>
      <c r="L122" s="4" t="s">
        <v>81</v>
      </c>
      <c r="AL122" s="5">
        <v>0.0</v>
      </c>
      <c r="BI122" s="5">
        <v>0.0</v>
      </c>
      <c r="BM122" s="5">
        <v>0.0</v>
      </c>
      <c r="BO122" s="5">
        <v>0.0</v>
      </c>
    </row>
    <row r="123" ht="15.75" customHeight="1">
      <c r="A123" s="4" t="str">
        <f t="shared" si="1"/>
        <v>Liabilities|Portfolio investment, Debt securities, Positions|Libya|Half-yearly, semester</v>
      </c>
      <c r="B123" s="4" t="s">
        <v>72</v>
      </c>
      <c r="C123" s="4" t="s">
        <v>305</v>
      </c>
      <c r="D123" s="4" t="s">
        <v>74</v>
      </c>
      <c r="E123" s="4" t="s">
        <v>75</v>
      </c>
      <c r="F123" s="4" t="s">
        <v>76</v>
      </c>
      <c r="G123" s="4" t="s">
        <v>165</v>
      </c>
      <c r="H123" s="4" t="s">
        <v>78</v>
      </c>
      <c r="I123" s="4" t="s">
        <v>78</v>
      </c>
      <c r="J123" s="4" t="s">
        <v>97</v>
      </c>
      <c r="K123" s="4" t="s">
        <v>80</v>
      </c>
      <c r="L123" s="4" t="s">
        <v>81</v>
      </c>
      <c r="AL123" s="5">
        <v>0.0</v>
      </c>
      <c r="BI123" s="5">
        <v>0.0</v>
      </c>
      <c r="BM123" s="5">
        <v>0.0</v>
      </c>
      <c r="BO123" s="5">
        <v>0.0</v>
      </c>
    </row>
    <row r="124" ht="15.75" customHeight="1">
      <c r="A124" s="4" t="str">
        <f t="shared" si="1"/>
        <v>Liabilities|Portfolio investment, Debt securities, Positions|Ethiopia, The Federal Democratic Republic of|Half-yearly, semester</v>
      </c>
      <c r="B124" s="4" t="s">
        <v>72</v>
      </c>
      <c r="C124" s="4" t="s">
        <v>306</v>
      </c>
      <c r="D124" s="4" t="s">
        <v>74</v>
      </c>
      <c r="E124" s="4" t="s">
        <v>75</v>
      </c>
      <c r="F124" s="4" t="s">
        <v>76</v>
      </c>
      <c r="G124" s="4" t="s">
        <v>165</v>
      </c>
      <c r="H124" s="4" t="s">
        <v>78</v>
      </c>
      <c r="I124" s="4" t="s">
        <v>78</v>
      </c>
      <c r="J124" s="4" t="s">
        <v>307</v>
      </c>
      <c r="K124" s="4" t="s">
        <v>80</v>
      </c>
      <c r="L124" s="4" t="s">
        <v>81</v>
      </c>
      <c r="AL124" s="5">
        <v>0.0</v>
      </c>
      <c r="BI124" s="5">
        <v>0.0</v>
      </c>
      <c r="BM124" s="5">
        <v>0.0</v>
      </c>
      <c r="BO124" s="5">
        <v>0.0</v>
      </c>
    </row>
    <row r="125" ht="15.75" customHeight="1">
      <c r="A125" s="4" t="str">
        <f t="shared" si="1"/>
        <v>Liabilities|Portfolio investment, Debt securities, Positions|São Tomé and Príncipe, Democratic Republic of|Half-yearly, semester</v>
      </c>
      <c r="B125" s="4" t="s">
        <v>72</v>
      </c>
      <c r="C125" s="4" t="s">
        <v>308</v>
      </c>
      <c r="D125" s="4" t="s">
        <v>74</v>
      </c>
      <c r="E125" s="4" t="s">
        <v>75</v>
      </c>
      <c r="F125" s="4" t="s">
        <v>76</v>
      </c>
      <c r="G125" s="4" t="s">
        <v>165</v>
      </c>
      <c r="H125" s="4" t="s">
        <v>78</v>
      </c>
      <c r="I125" s="4" t="s">
        <v>78</v>
      </c>
      <c r="J125" s="4" t="s">
        <v>309</v>
      </c>
      <c r="K125" s="4" t="s">
        <v>80</v>
      </c>
      <c r="L125" s="4" t="s">
        <v>81</v>
      </c>
      <c r="AL125" s="5">
        <v>0.0</v>
      </c>
      <c r="BI125" s="5">
        <v>0.0</v>
      </c>
      <c r="BM125" s="5">
        <v>0.0</v>
      </c>
      <c r="BO125" s="5">
        <v>0.0</v>
      </c>
    </row>
    <row r="126" ht="15.75" customHeight="1">
      <c r="A126" s="4" t="str">
        <f t="shared" si="1"/>
        <v>Liabilities|Portfolio investment, Debt securities, Positions|Egypt, Arab Republic of|Half-yearly, semester</v>
      </c>
      <c r="B126" s="4" t="s">
        <v>72</v>
      </c>
      <c r="C126" s="4" t="s">
        <v>310</v>
      </c>
      <c r="D126" s="4" t="s">
        <v>74</v>
      </c>
      <c r="E126" s="4" t="s">
        <v>75</v>
      </c>
      <c r="F126" s="4" t="s">
        <v>76</v>
      </c>
      <c r="G126" s="4" t="s">
        <v>165</v>
      </c>
      <c r="H126" s="4" t="s">
        <v>78</v>
      </c>
      <c r="I126" s="4" t="s">
        <v>78</v>
      </c>
      <c r="J126" s="4" t="s">
        <v>195</v>
      </c>
      <c r="K126" s="4" t="s">
        <v>80</v>
      </c>
      <c r="L126" s="4" t="s">
        <v>81</v>
      </c>
      <c r="AL126" s="5">
        <v>0.0</v>
      </c>
      <c r="BI126" s="5">
        <v>0.0</v>
      </c>
      <c r="BM126" s="5">
        <v>0.0</v>
      </c>
      <c r="BO126" s="5">
        <v>0.0</v>
      </c>
    </row>
    <row r="127" ht="15.75" customHeight="1">
      <c r="A127" s="4" t="str">
        <f t="shared" si="1"/>
        <v>Liabilities|Portfolio investment, Debt securities, Positions|Micronesia, Federated States of|Half-yearly, semester</v>
      </c>
      <c r="B127" s="4" t="s">
        <v>72</v>
      </c>
      <c r="C127" s="4" t="s">
        <v>311</v>
      </c>
      <c r="D127" s="4" t="s">
        <v>74</v>
      </c>
      <c r="E127" s="4" t="s">
        <v>75</v>
      </c>
      <c r="F127" s="4" t="s">
        <v>76</v>
      </c>
      <c r="G127" s="4" t="s">
        <v>165</v>
      </c>
      <c r="H127" s="4" t="s">
        <v>78</v>
      </c>
      <c r="I127" s="4" t="s">
        <v>78</v>
      </c>
      <c r="J127" s="4" t="s">
        <v>312</v>
      </c>
      <c r="K127" s="4" t="s">
        <v>80</v>
      </c>
      <c r="L127" s="4" t="s">
        <v>81</v>
      </c>
      <c r="AL127" s="5">
        <v>0.0</v>
      </c>
      <c r="BI127" s="5">
        <v>0.0</v>
      </c>
      <c r="BM127" s="5">
        <v>0.0</v>
      </c>
      <c r="BO127" s="5">
        <v>0.0</v>
      </c>
    </row>
    <row r="128" ht="15.75" customHeight="1">
      <c r="A128" s="4" t="str">
        <f t="shared" si="1"/>
        <v>Liabilities|Portfolio investment, Debt securities, Positions|Costa Rica|Half-yearly, semester</v>
      </c>
      <c r="B128" s="4" t="s">
        <v>72</v>
      </c>
      <c r="C128" s="4" t="s">
        <v>313</v>
      </c>
      <c r="D128" s="4" t="s">
        <v>74</v>
      </c>
      <c r="E128" s="4" t="s">
        <v>75</v>
      </c>
      <c r="F128" s="4" t="s">
        <v>76</v>
      </c>
      <c r="G128" s="4" t="s">
        <v>165</v>
      </c>
      <c r="H128" s="4" t="s">
        <v>78</v>
      </c>
      <c r="I128" s="4" t="s">
        <v>78</v>
      </c>
      <c r="J128" s="4" t="s">
        <v>314</v>
      </c>
      <c r="K128" s="4" t="s">
        <v>80</v>
      </c>
      <c r="L128" s="4" t="s">
        <v>81</v>
      </c>
      <c r="AL128" s="5">
        <v>0.0</v>
      </c>
      <c r="BI128" s="5">
        <v>0.0</v>
      </c>
      <c r="BM128" s="5">
        <v>0.0</v>
      </c>
      <c r="BO128" s="5">
        <v>0.0</v>
      </c>
    </row>
    <row r="129" ht="15.75" customHeight="1">
      <c r="A129" s="4" t="str">
        <f t="shared" si="1"/>
        <v>Liabilities|Portfolio investment, Debt securities, Positions|Nigeria|Half-yearly, semester</v>
      </c>
      <c r="B129" s="4" t="s">
        <v>72</v>
      </c>
      <c r="C129" s="4" t="s">
        <v>315</v>
      </c>
      <c r="D129" s="4" t="s">
        <v>74</v>
      </c>
      <c r="E129" s="4" t="s">
        <v>75</v>
      </c>
      <c r="F129" s="4" t="s">
        <v>76</v>
      </c>
      <c r="G129" s="4" t="s">
        <v>165</v>
      </c>
      <c r="H129" s="4" t="s">
        <v>78</v>
      </c>
      <c r="I129" s="4" t="s">
        <v>78</v>
      </c>
      <c r="J129" s="4" t="s">
        <v>113</v>
      </c>
      <c r="K129" s="4" t="s">
        <v>80</v>
      </c>
      <c r="L129" s="4" t="s">
        <v>81</v>
      </c>
      <c r="AL129" s="5">
        <v>0.0</v>
      </c>
      <c r="BI129" s="5">
        <v>0.0</v>
      </c>
      <c r="BM129" s="5">
        <v>0.0</v>
      </c>
      <c r="BO129" s="5">
        <v>0.0</v>
      </c>
    </row>
    <row r="130" ht="15.75" customHeight="1">
      <c r="A130" s="4" t="str">
        <f t="shared" si="1"/>
        <v>Liabilities|Portfolio investment, Debt securities, Positions|Belize|Half-yearly, semester</v>
      </c>
      <c r="B130" s="4" t="s">
        <v>72</v>
      </c>
      <c r="C130" s="4" t="s">
        <v>316</v>
      </c>
      <c r="D130" s="4" t="s">
        <v>74</v>
      </c>
      <c r="E130" s="4" t="s">
        <v>75</v>
      </c>
      <c r="F130" s="4" t="s">
        <v>76</v>
      </c>
      <c r="G130" s="4" t="s">
        <v>165</v>
      </c>
      <c r="H130" s="4" t="s">
        <v>78</v>
      </c>
      <c r="I130" s="4" t="s">
        <v>78</v>
      </c>
      <c r="J130" s="4" t="s">
        <v>317</v>
      </c>
      <c r="K130" s="4" t="s">
        <v>80</v>
      </c>
      <c r="L130" s="4" t="s">
        <v>81</v>
      </c>
      <c r="AL130" s="5">
        <v>0.0</v>
      </c>
      <c r="BI130" s="5">
        <v>0.0</v>
      </c>
      <c r="BM130" s="5">
        <v>0.0</v>
      </c>
      <c r="BO130" s="5">
        <v>0.0</v>
      </c>
    </row>
    <row r="131" ht="15.75" customHeight="1">
      <c r="A131" s="4" t="str">
        <f t="shared" si="1"/>
        <v>Liabilities|Portfolio investment, Debt securities, Positions|Christmas Island|Half-yearly, semester</v>
      </c>
      <c r="B131" s="4" t="s">
        <v>72</v>
      </c>
      <c r="C131" s="4" t="s">
        <v>318</v>
      </c>
      <c r="D131" s="4" t="s">
        <v>74</v>
      </c>
      <c r="E131" s="4" t="s">
        <v>75</v>
      </c>
      <c r="F131" s="4" t="s">
        <v>76</v>
      </c>
      <c r="G131" s="4" t="s">
        <v>165</v>
      </c>
      <c r="H131" s="4" t="s">
        <v>78</v>
      </c>
      <c r="I131" s="4" t="s">
        <v>78</v>
      </c>
      <c r="J131" s="4" t="s">
        <v>319</v>
      </c>
      <c r="K131" s="4" t="s">
        <v>80</v>
      </c>
      <c r="L131" s="4" t="s">
        <v>81</v>
      </c>
      <c r="AL131" s="5">
        <v>0.0</v>
      </c>
      <c r="BI131" s="5">
        <v>0.0</v>
      </c>
      <c r="BM131" s="5">
        <v>0.0</v>
      </c>
      <c r="BO131" s="5">
        <v>0.0</v>
      </c>
    </row>
    <row r="132" ht="15.75" customHeight="1">
      <c r="A132" s="4" t="str">
        <f t="shared" si="1"/>
        <v>Liabilities|Portfolio investment, Debt securities, Positions|Mexico|Half-yearly, semester</v>
      </c>
      <c r="B132" s="4" t="s">
        <v>72</v>
      </c>
      <c r="C132" s="4" t="s">
        <v>320</v>
      </c>
      <c r="D132" s="4" t="s">
        <v>74</v>
      </c>
      <c r="E132" s="4" t="s">
        <v>75</v>
      </c>
      <c r="F132" s="4" t="s">
        <v>76</v>
      </c>
      <c r="G132" s="4" t="s">
        <v>165</v>
      </c>
      <c r="H132" s="4" t="s">
        <v>78</v>
      </c>
      <c r="I132" s="4" t="s">
        <v>78</v>
      </c>
      <c r="J132" s="4" t="s">
        <v>79</v>
      </c>
      <c r="K132" s="4" t="s">
        <v>80</v>
      </c>
      <c r="L132" s="4" t="s">
        <v>81</v>
      </c>
      <c r="AL132" s="5">
        <v>0.0</v>
      </c>
      <c r="BA132" s="5">
        <v>0.0380952380952381</v>
      </c>
      <c r="BI132" s="5">
        <v>0.0</v>
      </c>
      <c r="BM132" s="5">
        <v>0.0</v>
      </c>
      <c r="BO132" s="5">
        <v>0.0</v>
      </c>
    </row>
    <row r="133" ht="15.75" customHeight="1">
      <c r="A133" s="4" t="str">
        <f t="shared" si="1"/>
        <v>Liabilities|Portfolio investment, Debt securities, Positions|Tajikistan, Republic of|Half-yearly, semester</v>
      </c>
      <c r="B133" s="4" t="s">
        <v>72</v>
      </c>
      <c r="C133" s="4" t="s">
        <v>321</v>
      </c>
      <c r="D133" s="4" t="s">
        <v>74</v>
      </c>
      <c r="E133" s="4" t="s">
        <v>75</v>
      </c>
      <c r="F133" s="4" t="s">
        <v>76</v>
      </c>
      <c r="G133" s="4" t="s">
        <v>165</v>
      </c>
      <c r="H133" s="4" t="s">
        <v>78</v>
      </c>
      <c r="I133" s="4" t="s">
        <v>78</v>
      </c>
      <c r="J133" s="4" t="s">
        <v>322</v>
      </c>
      <c r="K133" s="4" t="s">
        <v>80</v>
      </c>
      <c r="L133" s="4" t="s">
        <v>81</v>
      </c>
      <c r="AL133" s="5">
        <v>0.0</v>
      </c>
      <c r="BI133" s="5">
        <v>0.0</v>
      </c>
      <c r="BM133" s="5">
        <v>0.0</v>
      </c>
      <c r="BO133" s="5">
        <v>0.0</v>
      </c>
    </row>
    <row r="134" ht="15.75" customHeight="1">
      <c r="A134" s="4" t="str">
        <f t="shared" si="1"/>
        <v>Liabilities|Portfolio investment, Debt securities, Positions|Morocco|Half-yearly, semester</v>
      </c>
      <c r="B134" s="4" t="s">
        <v>72</v>
      </c>
      <c r="C134" s="4" t="s">
        <v>323</v>
      </c>
      <c r="D134" s="4" t="s">
        <v>74</v>
      </c>
      <c r="E134" s="4" t="s">
        <v>75</v>
      </c>
      <c r="F134" s="4" t="s">
        <v>76</v>
      </c>
      <c r="G134" s="4" t="s">
        <v>165</v>
      </c>
      <c r="H134" s="4" t="s">
        <v>78</v>
      </c>
      <c r="I134" s="4" t="s">
        <v>78</v>
      </c>
      <c r="J134" s="4" t="s">
        <v>324</v>
      </c>
      <c r="K134" s="4" t="s">
        <v>80</v>
      </c>
      <c r="L134" s="4" t="s">
        <v>81</v>
      </c>
      <c r="AL134" s="5">
        <v>0.0</v>
      </c>
      <c r="BI134" s="5">
        <v>0.0</v>
      </c>
      <c r="BM134" s="5">
        <v>0.0</v>
      </c>
      <c r="BO134" s="5">
        <v>0.0</v>
      </c>
    </row>
    <row r="135" ht="15.75" customHeight="1">
      <c r="A135" s="4" t="str">
        <f t="shared" si="1"/>
        <v>Liabilities|Portfolio investment, Debt securities, Positions|Guatemala|Half-yearly, semester</v>
      </c>
      <c r="B135" s="4" t="s">
        <v>72</v>
      </c>
      <c r="C135" s="4" t="s">
        <v>325</v>
      </c>
      <c r="D135" s="4" t="s">
        <v>74</v>
      </c>
      <c r="E135" s="4" t="s">
        <v>75</v>
      </c>
      <c r="F135" s="4" t="s">
        <v>76</v>
      </c>
      <c r="G135" s="4" t="s">
        <v>165</v>
      </c>
      <c r="H135" s="4" t="s">
        <v>78</v>
      </c>
      <c r="I135" s="4" t="s">
        <v>78</v>
      </c>
      <c r="J135" s="4" t="s">
        <v>326</v>
      </c>
      <c r="K135" s="4" t="s">
        <v>80</v>
      </c>
      <c r="L135" s="4" t="s">
        <v>81</v>
      </c>
      <c r="AL135" s="5">
        <v>0.0</v>
      </c>
      <c r="BI135" s="5">
        <v>0.0</v>
      </c>
      <c r="BM135" s="5">
        <v>0.0</v>
      </c>
      <c r="BO135" s="5">
        <v>0.0</v>
      </c>
    </row>
    <row r="136" ht="15.75" customHeight="1">
      <c r="A136" s="4" t="str">
        <f t="shared" si="1"/>
        <v>Liabilities|Portfolio investment, Debt securities, Positions|Syrian Arab Republic|Half-yearly, semester</v>
      </c>
      <c r="B136" s="4" t="s">
        <v>72</v>
      </c>
      <c r="C136" s="4" t="s">
        <v>327</v>
      </c>
      <c r="D136" s="4" t="s">
        <v>74</v>
      </c>
      <c r="E136" s="4" t="s">
        <v>75</v>
      </c>
      <c r="F136" s="4" t="s">
        <v>76</v>
      </c>
      <c r="G136" s="4" t="s">
        <v>165</v>
      </c>
      <c r="H136" s="4" t="s">
        <v>78</v>
      </c>
      <c r="I136" s="4" t="s">
        <v>78</v>
      </c>
      <c r="J136" s="4" t="s">
        <v>328</v>
      </c>
      <c r="K136" s="4" t="s">
        <v>80</v>
      </c>
      <c r="L136" s="4" t="s">
        <v>81</v>
      </c>
      <c r="AL136" s="5">
        <v>0.0</v>
      </c>
      <c r="BI136" s="5">
        <v>0.0</v>
      </c>
      <c r="BM136" s="5">
        <v>0.0</v>
      </c>
      <c r="BO136" s="5">
        <v>0.0</v>
      </c>
    </row>
    <row r="137" ht="15.75" customHeight="1">
      <c r="A137" s="4" t="str">
        <f t="shared" si="1"/>
        <v>Liabilities|Portfolio investment, Debt securities, Positions|Kenya|Half-yearly, semester</v>
      </c>
      <c r="B137" s="4" t="s">
        <v>72</v>
      </c>
      <c r="C137" s="4" t="s">
        <v>329</v>
      </c>
      <c r="D137" s="4" t="s">
        <v>74</v>
      </c>
      <c r="E137" s="4" t="s">
        <v>75</v>
      </c>
      <c r="F137" s="4" t="s">
        <v>76</v>
      </c>
      <c r="G137" s="4" t="s">
        <v>165</v>
      </c>
      <c r="H137" s="4" t="s">
        <v>78</v>
      </c>
      <c r="I137" s="4" t="s">
        <v>78</v>
      </c>
      <c r="J137" s="4" t="s">
        <v>127</v>
      </c>
      <c r="K137" s="4" t="s">
        <v>80</v>
      </c>
      <c r="L137" s="4" t="s">
        <v>81</v>
      </c>
      <c r="AL137" s="5">
        <v>0.0</v>
      </c>
      <c r="AZ137" s="5">
        <v>0.149118528325552</v>
      </c>
      <c r="BA137" s="5">
        <v>0.156776556776557</v>
      </c>
      <c r="BB137" s="5">
        <v>0.151880766501065</v>
      </c>
      <c r="BC137" s="5">
        <v>0.076845298281092</v>
      </c>
      <c r="BD137" s="5">
        <v>0.143662728249194</v>
      </c>
      <c r="BI137" s="5">
        <v>0.0</v>
      </c>
      <c r="BM137" s="5">
        <v>0.0</v>
      </c>
      <c r="BO137" s="5">
        <v>0.0</v>
      </c>
    </row>
    <row r="138" ht="15.75" customHeight="1">
      <c r="A138" s="4" t="str">
        <f t="shared" si="1"/>
        <v>Liabilities|Portfolio investment, Debt securities, Positions|West Bank and Gaza|Half-yearly, semester</v>
      </c>
      <c r="B138" s="4" t="s">
        <v>72</v>
      </c>
      <c r="C138" s="4" t="s">
        <v>330</v>
      </c>
      <c r="D138" s="4" t="s">
        <v>74</v>
      </c>
      <c r="E138" s="4" t="s">
        <v>75</v>
      </c>
      <c r="F138" s="4" t="s">
        <v>76</v>
      </c>
      <c r="G138" s="4" t="s">
        <v>165</v>
      </c>
      <c r="H138" s="4" t="s">
        <v>78</v>
      </c>
      <c r="I138" s="4" t="s">
        <v>78</v>
      </c>
      <c r="J138" s="4" t="s">
        <v>331</v>
      </c>
      <c r="K138" s="4" t="s">
        <v>80</v>
      </c>
      <c r="L138" s="4" t="s">
        <v>81</v>
      </c>
      <c r="AL138" s="5">
        <v>0.0</v>
      </c>
      <c r="BI138" s="5">
        <v>0.0</v>
      </c>
      <c r="BM138" s="5">
        <v>0.0</v>
      </c>
      <c r="BO138" s="5">
        <v>0.0</v>
      </c>
    </row>
    <row r="139" ht="15.75" customHeight="1">
      <c r="A139" s="4" t="str">
        <f t="shared" si="1"/>
        <v>Liabilities|Portfolio investment, Debt securities, Positions|Western Sahara|Half-yearly, semester</v>
      </c>
      <c r="B139" s="4" t="s">
        <v>72</v>
      </c>
      <c r="C139" s="4" t="s">
        <v>332</v>
      </c>
      <c r="D139" s="4" t="s">
        <v>74</v>
      </c>
      <c r="E139" s="4" t="s">
        <v>75</v>
      </c>
      <c r="F139" s="4" t="s">
        <v>76</v>
      </c>
      <c r="G139" s="4" t="s">
        <v>165</v>
      </c>
      <c r="H139" s="4" t="s">
        <v>78</v>
      </c>
      <c r="I139" s="4" t="s">
        <v>78</v>
      </c>
      <c r="J139" s="4" t="s">
        <v>333</v>
      </c>
      <c r="K139" s="4" t="s">
        <v>80</v>
      </c>
      <c r="L139" s="4" t="s">
        <v>81</v>
      </c>
      <c r="AL139" s="5">
        <v>0.0</v>
      </c>
      <c r="BI139" s="5">
        <v>0.0</v>
      </c>
      <c r="BM139" s="5">
        <v>0.0</v>
      </c>
      <c r="BO139" s="5">
        <v>0.0</v>
      </c>
    </row>
    <row r="140" ht="15.75" customHeight="1">
      <c r="A140" s="4" t="str">
        <f t="shared" si="1"/>
        <v>Liabilities|Portfolio investment, Debt securities, Positions|Benin|Half-yearly, semester</v>
      </c>
      <c r="B140" s="4" t="s">
        <v>72</v>
      </c>
      <c r="C140" s="4" t="s">
        <v>334</v>
      </c>
      <c r="D140" s="4" t="s">
        <v>74</v>
      </c>
      <c r="E140" s="4" t="s">
        <v>75</v>
      </c>
      <c r="F140" s="4" t="s">
        <v>76</v>
      </c>
      <c r="G140" s="4" t="s">
        <v>165</v>
      </c>
      <c r="H140" s="4" t="s">
        <v>78</v>
      </c>
      <c r="I140" s="4" t="s">
        <v>78</v>
      </c>
      <c r="J140" s="4" t="s">
        <v>335</v>
      </c>
      <c r="K140" s="4" t="s">
        <v>80</v>
      </c>
      <c r="L140" s="4" t="s">
        <v>81</v>
      </c>
      <c r="AL140" s="5">
        <v>0.0</v>
      </c>
      <c r="BI140" s="5">
        <v>0.0</v>
      </c>
      <c r="BM140" s="5">
        <v>0.0</v>
      </c>
      <c r="BO140" s="5">
        <v>0.0</v>
      </c>
    </row>
    <row r="141" ht="15.75" customHeight="1">
      <c r="A141" s="4" t="str">
        <f t="shared" si="1"/>
        <v>Liabilities|Portfolio investment, Debt securities, Positions|French Southern Territories|Half-yearly, semester</v>
      </c>
      <c r="B141" s="4" t="s">
        <v>72</v>
      </c>
      <c r="C141" s="4" t="s">
        <v>336</v>
      </c>
      <c r="D141" s="4" t="s">
        <v>74</v>
      </c>
      <c r="E141" s="4" t="s">
        <v>75</v>
      </c>
      <c r="F141" s="4" t="s">
        <v>76</v>
      </c>
      <c r="G141" s="4" t="s">
        <v>165</v>
      </c>
      <c r="H141" s="4" t="s">
        <v>78</v>
      </c>
      <c r="I141" s="4" t="s">
        <v>78</v>
      </c>
      <c r="J141" s="4" t="s">
        <v>337</v>
      </c>
      <c r="K141" s="4" t="s">
        <v>80</v>
      </c>
      <c r="L141" s="4" t="s">
        <v>81</v>
      </c>
      <c r="AL141" s="5">
        <v>0.0</v>
      </c>
      <c r="BI141" s="5">
        <v>0.0</v>
      </c>
      <c r="BM141" s="5">
        <v>0.0</v>
      </c>
      <c r="BO141" s="5">
        <v>0.0</v>
      </c>
    </row>
    <row r="142" ht="15.75" customHeight="1">
      <c r="A142" s="4" t="str">
        <f t="shared" si="1"/>
        <v>Liabilities|Portfolio investment, Debt securities, Positions|British Indian Ocean Territory|Half-yearly, semester</v>
      </c>
      <c r="B142" s="4" t="s">
        <v>72</v>
      </c>
      <c r="C142" s="4" t="s">
        <v>338</v>
      </c>
      <c r="D142" s="4" t="s">
        <v>74</v>
      </c>
      <c r="E142" s="4" t="s">
        <v>75</v>
      </c>
      <c r="F142" s="4" t="s">
        <v>76</v>
      </c>
      <c r="G142" s="4" t="s">
        <v>165</v>
      </c>
      <c r="H142" s="4" t="s">
        <v>78</v>
      </c>
      <c r="I142" s="4" t="s">
        <v>78</v>
      </c>
      <c r="J142" s="4" t="s">
        <v>339</v>
      </c>
      <c r="K142" s="4" t="s">
        <v>80</v>
      </c>
      <c r="L142" s="4" t="s">
        <v>81</v>
      </c>
      <c r="AL142" s="5">
        <v>0.0</v>
      </c>
      <c r="BI142" s="5">
        <v>0.0</v>
      </c>
      <c r="BM142" s="5">
        <v>0.0</v>
      </c>
      <c r="BO142" s="5">
        <v>0.0</v>
      </c>
    </row>
    <row r="143" ht="15.75" customHeight="1">
      <c r="A143" s="4" t="str">
        <f t="shared" si="1"/>
        <v>Liabilities|Portfolio investment, Debt securities, Positions|US Pacific Islands|Half-yearly, semester</v>
      </c>
      <c r="B143" s="4" t="s">
        <v>72</v>
      </c>
      <c r="C143" s="4" t="s">
        <v>340</v>
      </c>
      <c r="D143" s="4" t="s">
        <v>74</v>
      </c>
      <c r="E143" s="4" t="s">
        <v>75</v>
      </c>
      <c r="F143" s="4" t="s">
        <v>76</v>
      </c>
      <c r="G143" s="4" t="s">
        <v>165</v>
      </c>
      <c r="H143" s="4" t="s">
        <v>78</v>
      </c>
      <c r="I143" s="4" t="s">
        <v>78</v>
      </c>
      <c r="J143" s="4" t="s">
        <v>341</v>
      </c>
      <c r="K143" s="4" t="s">
        <v>80</v>
      </c>
      <c r="L143" s="4" t="s">
        <v>81</v>
      </c>
      <c r="AL143" s="5">
        <v>0.0</v>
      </c>
      <c r="BI143" s="5">
        <v>0.0</v>
      </c>
      <c r="BM143" s="5">
        <v>0.0</v>
      </c>
      <c r="BO143" s="5">
        <v>0.0</v>
      </c>
    </row>
    <row r="144" ht="15.75" customHeight="1">
      <c r="A144" s="4" t="str">
        <f t="shared" si="1"/>
        <v>Liabilities|Portfolio investment, Debt securities, Positions|Iran, Islamic Republic of|Half-yearly, semester</v>
      </c>
      <c r="B144" s="4" t="s">
        <v>72</v>
      </c>
      <c r="C144" s="4" t="s">
        <v>342</v>
      </c>
      <c r="D144" s="4" t="s">
        <v>74</v>
      </c>
      <c r="E144" s="4" t="s">
        <v>75</v>
      </c>
      <c r="F144" s="4" t="s">
        <v>76</v>
      </c>
      <c r="G144" s="4" t="s">
        <v>165</v>
      </c>
      <c r="H144" s="4" t="s">
        <v>78</v>
      </c>
      <c r="I144" s="4" t="s">
        <v>78</v>
      </c>
      <c r="J144" s="4" t="s">
        <v>343</v>
      </c>
      <c r="K144" s="4" t="s">
        <v>80</v>
      </c>
      <c r="L144" s="4" t="s">
        <v>81</v>
      </c>
      <c r="AL144" s="5">
        <v>0.0</v>
      </c>
      <c r="BI144" s="5">
        <v>0.0</v>
      </c>
      <c r="BM144" s="5">
        <v>0.0</v>
      </c>
      <c r="BO144" s="5">
        <v>0.0</v>
      </c>
    </row>
    <row r="145" ht="15.75" customHeight="1">
      <c r="A145" s="4" t="str">
        <f t="shared" si="1"/>
        <v>Liabilities|Portfolio investment, Debt securities, Positions|Central African Republic|Half-yearly, semester</v>
      </c>
      <c r="B145" s="4" t="s">
        <v>72</v>
      </c>
      <c r="C145" s="4" t="s">
        <v>344</v>
      </c>
      <c r="D145" s="4" t="s">
        <v>74</v>
      </c>
      <c r="E145" s="4" t="s">
        <v>75</v>
      </c>
      <c r="F145" s="4" t="s">
        <v>76</v>
      </c>
      <c r="G145" s="4" t="s">
        <v>165</v>
      </c>
      <c r="H145" s="4" t="s">
        <v>78</v>
      </c>
      <c r="I145" s="4" t="s">
        <v>78</v>
      </c>
      <c r="J145" s="4" t="s">
        <v>345</v>
      </c>
      <c r="K145" s="4" t="s">
        <v>80</v>
      </c>
      <c r="L145" s="4" t="s">
        <v>81</v>
      </c>
      <c r="AL145" s="5">
        <v>0.0</v>
      </c>
      <c r="BI145" s="5">
        <v>0.0</v>
      </c>
      <c r="BM145" s="5">
        <v>0.0</v>
      </c>
      <c r="BO145" s="5">
        <v>0.0</v>
      </c>
    </row>
    <row r="146" ht="15.75" customHeight="1">
      <c r="A146" s="4" t="str">
        <f t="shared" si="1"/>
        <v>Liabilities|Portfolio investment, Debt securities, Positions|Malta|Half-yearly, semester</v>
      </c>
      <c r="B146" s="4" t="s">
        <v>72</v>
      </c>
      <c r="C146" s="4" t="s">
        <v>346</v>
      </c>
      <c r="D146" s="4" t="s">
        <v>74</v>
      </c>
      <c r="E146" s="4" t="s">
        <v>75</v>
      </c>
      <c r="F146" s="4" t="s">
        <v>76</v>
      </c>
      <c r="G146" s="4" t="s">
        <v>165</v>
      </c>
      <c r="H146" s="4" t="s">
        <v>78</v>
      </c>
      <c r="I146" s="4" t="s">
        <v>78</v>
      </c>
      <c r="J146" s="4" t="s">
        <v>125</v>
      </c>
      <c r="K146" s="4" t="s">
        <v>80</v>
      </c>
      <c r="L146" s="4" t="s">
        <v>81</v>
      </c>
      <c r="AL146" s="5">
        <v>0.0</v>
      </c>
      <c r="AZ146" s="5">
        <v>0.137272663925859</v>
      </c>
      <c r="BA146" s="5">
        <v>0.145787545787546</v>
      </c>
      <c r="BB146" s="5">
        <v>0.14833215046132</v>
      </c>
      <c r="BC146" s="5">
        <v>0.13953488372093</v>
      </c>
      <c r="BD146" s="5">
        <v>0.134264232008593</v>
      </c>
      <c r="BI146" s="5">
        <v>0.0</v>
      </c>
      <c r="BM146" s="5">
        <v>0.0</v>
      </c>
      <c r="BO146" s="5">
        <v>0.0</v>
      </c>
    </row>
    <row r="147" ht="15.75" customHeight="1">
      <c r="A147" s="4" t="str">
        <f t="shared" si="1"/>
        <v>Liabilities|Portfolio investment, Debt securities, Positions|Wallis and Futuna Islands|Half-yearly, semester</v>
      </c>
      <c r="B147" s="4" t="s">
        <v>72</v>
      </c>
      <c r="C147" s="4" t="s">
        <v>347</v>
      </c>
      <c r="D147" s="4" t="s">
        <v>74</v>
      </c>
      <c r="E147" s="4" t="s">
        <v>75</v>
      </c>
      <c r="F147" s="4" t="s">
        <v>76</v>
      </c>
      <c r="G147" s="4" t="s">
        <v>165</v>
      </c>
      <c r="H147" s="4" t="s">
        <v>78</v>
      </c>
      <c r="I147" s="4" t="s">
        <v>78</v>
      </c>
      <c r="J147" s="4" t="s">
        <v>348</v>
      </c>
      <c r="K147" s="4" t="s">
        <v>80</v>
      </c>
      <c r="L147" s="4" t="s">
        <v>81</v>
      </c>
      <c r="AL147" s="5">
        <v>0.0</v>
      </c>
      <c r="BI147" s="5">
        <v>0.0</v>
      </c>
      <c r="BM147" s="5">
        <v>0.0</v>
      </c>
      <c r="BO147" s="5">
        <v>0.0</v>
      </c>
    </row>
    <row r="148" ht="15.75" customHeight="1">
      <c r="A148" s="4" t="str">
        <f t="shared" si="1"/>
        <v>Liabilities|Portfolio investment, Debt securities, Positions|Nepal|Half-yearly, semester</v>
      </c>
      <c r="B148" s="4" t="s">
        <v>72</v>
      </c>
      <c r="C148" s="4" t="s">
        <v>349</v>
      </c>
      <c r="D148" s="4" t="s">
        <v>74</v>
      </c>
      <c r="E148" s="4" t="s">
        <v>75</v>
      </c>
      <c r="F148" s="4" t="s">
        <v>76</v>
      </c>
      <c r="G148" s="4" t="s">
        <v>165</v>
      </c>
      <c r="H148" s="4" t="s">
        <v>78</v>
      </c>
      <c r="I148" s="4" t="s">
        <v>78</v>
      </c>
      <c r="J148" s="4" t="s">
        <v>350</v>
      </c>
      <c r="K148" s="4" t="s">
        <v>80</v>
      </c>
      <c r="L148" s="4" t="s">
        <v>81</v>
      </c>
      <c r="AL148" s="5">
        <v>0.0</v>
      </c>
      <c r="BI148" s="5">
        <v>0.0</v>
      </c>
      <c r="BM148" s="5">
        <v>0.0</v>
      </c>
      <c r="BO148" s="5">
        <v>0.0</v>
      </c>
    </row>
    <row r="149" ht="15.75" customHeight="1">
      <c r="A149" s="4" t="str">
        <f t="shared" si="1"/>
        <v>Liabilities|Portfolio investment, Debt securities, Positions|Namibia|Half-yearly, semester</v>
      </c>
      <c r="B149" s="4" t="s">
        <v>72</v>
      </c>
      <c r="C149" s="4" t="s">
        <v>351</v>
      </c>
      <c r="D149" s="4" t="s">
        <v>74</v>
      </c>
      <c r="E149" s="4" t="s">
        <v>75</v>
      </c>
      <c r="F149" s="4" t="s">
        <v>76</v>
      </c>
      <c r="G149" s="4" t="s">
        <v>165</v>
      </c>
      <c r="H149" s="4" t="s">
        <v>78</v>
      </c>
      <c r="I149" s="4" t="s">
        <v>78</v>
      </c>
      <c r="J149" s="4" t="s">
        <v>352</v>
      </c>
      <c r="K149" s="4" t="s">
        <v>80</v>
      </c>
      <c r="L149" s="4" t="s">
        <v>81</v>
      </c>
      <c r="AL149" s="5">
        <v>0.0</v>
      </c>
      <c r="BI149" s="5">
        <v>0.0</v>
      </c>
      <c r="BM149" s="5">
        <v>0.0</v>
      </c>
      <c r="BO149" s="5">
        <v>0.0</v>
      </c>
    </row>
    <row r="150" ht="15.75" customHeight="1">
      <c r="A150" s="4" t="str">
        <f t="shared" si="1"/>
        <v>Liabilities|Portfolio investment, Debt securities, Positions|International Organizations|Half-yearly, semester</v>
      </c>
      <c r="B150" s="4" t="s">
        <v>72</v>
      </c>
      <c r="C150" s="4" t="s">
        <v>353</v>
      </c>
      <c r="D150" s="4" t="s">
        <v>74</v>
      </c>
      <c r="E150" s="4" t="s">
        <v>75</v>
      </c>
      <c r="F150" s="4" t="s">
        <v>76</v>
      </c>
      <c r="G150" s="4" t="s">
        <v>165</v>
      </c>
      <c r="H150" s="4" t="s">
        <v>78</v>
      </c>
      <c r="I150" s="4" t="s">
        <v>78</v>
      </c>
      <c r="J150" s="4" t="s">
        <v>141</v>
      </c>
      <c r="K150" s="4" t="s">
        <v>80</v>
      </c>
      <c r="L150" s="4" t="s">
        <v>81</v>
      </c>
      <c r="AJ150" s="5">
        <v>0.0</v>
      </c>
      <c r="AL150" s="5">
        <v>0.0</v>
      </c>
      <c r="BI150" s="5">
        <v>0.0</v>
      </c>
      <c r="BM150" s="5">
        <v>0.0</v>
      </c>
      <c r="BO150" s="5">
        <v>0.0</v>
      </c>
    </row>
    <row r="151" ht="15.75" customHeight="1">
      <c r="A151" s="4" t="str">
        <f t="shared" si="1"/>
        <v>Liabilities|Portfolio investment, Debt securities, Positions|Congo, Republic of|Half-yearly, semester</v>
      </c>
      <c r="B151" s="4" t="s">
        <v>72</v>
      </c>
      <c r="C151" s="4" t="s">
        <v>354</v>
      </c>
      <c r="D151" s="4" t="s">
        <v>74</v>
      </c>
      <c r="E151" s="4" t="s">
        <v>75</v>
      </c>
      <c r="F151" s="4" t="s">
        <v>76</v>
      </c>
      <c r="G151" s="4" t="s">
        <v>165</v>
      </c>
      <c r="H151" s="4" t="s">
        <v>78</v>
      </c>
      <c r="I151" s="4" t="s">
        <v>78</v>
      </c>
      <c r="J151" s="4" t="s">
        <v>355</v>
      </c>
      <c r="K151" s="4" t="s">
        <v>80</v>
      </c>
      <c r="L151" s="4" t="s">
        <v>81</v>
      </c>
      <c r="AL151" s="5">
        <v>0.0</v>
      </c>
      <c r="BI151" s="5">
        <v>0.0</v>
      </c>
      <c r="BM151" s="5">
        <v>0.0</v>
      </c>
      <c r="BO151" s="5">
        <v>0.0</v>
      </c>
    </row>
    <row r="152" ht="15.75" customHeight="1">
      <c r="A152" s="4" t="str">
        <f t="shared" si="1"/>
        <v>Liabilities|Portfolio investment, Debt securities, Positions|St. Pierre and Miquelon|Half-yearly, semester</v>
      </c>
      <c r="B152" s="4" t="s">
        <v>72</v>
      </c>
      <c r="C152" s="4" t="s">
        <v>356</v>
      </c>
      <c r="D152" s="4" t="s">
        <v>74</v>
      </c>
      <c r="E152" s="4" t="s">
        <v>75</v>
      </c>
      <c r="F152" s="4" t="s">
        <v>76</v>
      </c>
      <c r="G152" s="4" t="s">
        <v>165</v>
      </c>
      <c r="H152" s="4" t="s">
        <v>78</v>
      </c>
      <c r="I152" s="4" t="s">
        <v>78</v>
      </c>
      <c r="J152" s="4" t="s">
        <v>357</v>
      </c>
      <c r="K152" s="4" t="s">
        <v>80</v>
      </c>
      <c r="L152" s="4" t="s">
        <v>81</v>
      </c>
      <c r="AL152" s="5">
        <v>0.0</v>
      </c>
      <c r="BI152" s="5">
        <v>0.0</v>
      </c>
      <c r="BM152" s="5">
        <v>0.0</v>
      </c>
      <c r="BO152" s="5">
        <v>0.0</v>
      </c>
    </row>
    <row r="153" ht="15.75" customHeight="1">
      <c r="A153" s="4" t="str">
        <f t="shared" si="1"/>
        <v>Liabilities|Portfolio investment, Debt securities, Positions|Burundi|Half-yearly, semester</v>
      </c>
      <c r="B153" s="4" t="s">
        <v>72</v>
      </c>
      <c r="C153" s="4" t="s">
        <v>358</v>
      </c>
      <c r="D153" s="4" t="s">
        <v>74</v>
      </c>
      <c r="E153" s="4" t="s">
        <v>75</v>
      </c>
      <c r="F153" s="4" t="s">
        <v>76</v>
      </c>
      <c r="G153" s="4" t="s">
        <v>165</v>
      </c>
      <c r="H153" s="4" t="s">
        <v>78</v>
      </c>
      <c r="I153" s="4" t="s">
        <v>78</v>
      </c>
      <c r="J153" s="4" t="s">
        <v>359</v>
      </c>
      <c r="K153" s="4" t="s">
        <v>80</v>
      </c>
      <c r="L153" s="4" t="s">
        <v>81</v>
      </c>
      <c r="AL153" s="5">
        <v>0.0</v>
      </c>
      <c r="BI153" s="5">
        <v>0.0</v>
      </c>
      <c r="BM153" s="5">
        <v>0.0</v>
      </c>
      <c r="BO153" s="5">
        <v>0.0</v>
      </c>
    </row>
    <row r="154" ht="15.75" customHeight="1">
      <c r="A154" s="4" t="str">
        <f t="shared" si="1"/>
        <v>Liabilities|Portfolio investment, Debt securities, Positions|Macao Special Administrative Region, People's Republic of China|Half-yearly, semester</v>
      </c>
      <c r="B154" s="4" t="s">
        <v>72</v>
      </c>
      <c r="C154" s="4" t="s">
        <v>360</v>
      </c>
      <c r="D154" s="4" t="s">
        <v>74</v>
      </c>
      <c r="E154" s="4" t="s">
        <v>75</v>
      </c>
      <c r="F154" s="4" t="s">
        <v>76</v>
      </c>
      <c r="G154" s="4" t="s">
        <v>165</v>
      </c>
      <c r="H154" s="4" t="s">
        <v>78</v>
      </c>
      <c r="I154" s="4" t="s">
        <v>78</v>
      </c>
      <c r="J154" s="4" t="s">
        <v>139</v>
      </c>
      <c r="K154" s="4" t="s">
        <v>80</v>
      </c>
      <c r="L154" s="4" t="s">
        <v>81</v>
      </c>
      <c r="AL154" s="5">
        <v>0.0</v>
      </c>
      <c r="BI154" s="5">
        <v>0.0</v>
      </c>
      <c r="BM154" s="5">
        <v>0.0</v>
      </c>
      <c r="BO154" s="5">
        <v>0.0</v>
      </c>
    </row>
    <row r="155" ht="15.75" customHeight="1">
      <c r="A155" s="4" t="str">
        <f t="shared" si="1"/>
        <v>Liabilities|Portfolio investment, Debt securities, Positions|Uzbekistan, Republic of|Half-yearly, semester</v>
      </c>
      <c r="B155" s="4" t="s">
        <v>72</v>
      </c>
      <c r="C155" s="4" t="s">
        <v>361</v>
      </c>
      <c r="D155" s="4" t="s">
        <v>74</v>
      </c>
      <c r="E155" s="4" t="s">
        <v>75</v>
      </c>
      <c r="F155" s="4" t="s">
        <v>76</v>
      </c>
      <c r="G155" s="4" t="s">
        <v>165</v>
      </c>
      <c r="H155" s="4" t="s">
        <v>78</v>
      </c>
      <c r="I155" s="4" t="s">
        <v>78</v>
      </c>
      <c r="J155" s="4" t="s">
        <v>362</v>
      </c>
      <c r="K155" s="4" t="s">
        <v>80</v>
      </c>
      <c r="L155" s="4" t="s">
        <v>81</v>
      </c>
      <c r="AL155" s="5">
        <v>0.0</v>
      </c>
      <c r="BI155" s="5">
        <v>0.0</v>
      </c>
      <c r="BM155" s="5">
        <v>0.0</v>
      </c>
      <c r="BO155" s="5">
        <v>0.0</v>
      </c>
    </row>
    <row r="156" ht="15.75" customHeight="1">
      <c r="A156" s="4" t="str">
        <f t="shared" si="1"/>
        <v>Liabilities|Portfolio investment, Debt securities, Positions|Angola|Half-yearly, semester</v>
      </c>
      <c r="B156" s="4" t="s">
        <v>72</v>
      </c>
      <c r="C156" s="4" t="s">
        <v>363</v>
      </c>
      <c r="D156" s="4" t="s">
        <v>74</v>
      </c>
      <c r="E156" s="4" t="s">
        <v>75</v>
      </c>
      <c r="F156" s="4" t="s">
        <v>76</v>
      </c>
      <c r="G156" s="4" t="s">
        <v>165</v>
      </c>
      <c r="H156" s="4" t="s">
        <v>78</v>
      </c>
      <c r="I156" s="4" t="s">
        <v>78</v>
      </c>
      <c r="J156" s="4" t="s">
        <v>364</v>
      </c>
      <c r="K156" s="4" t="s">
        <v>80</v>
      </c>
      <c r="L156" s="4" t="s">
        <v>81</v>
      </c>
      <c r="AL156" s="5">
        <v>0.0</v>
      </c>
      <c r="BI156" s="5">
        <v>0.0</v>
      </c>
      <c r="BM156" s="5">
        <v>0.0</v>
      </c>
      <c r="BO156" s="5">
        <v>0.0</v>
      </c>
    </row>
    <row r="157" ht="15.75" customHeight="1">
      <c r="A157" s="4" t="str">
        <f t="shared" si="1"/>
        <v>Liabilities|Portfolio investment, Debt securities, Positions|Qatar|Half-yearly, semester</v>
      </c>
      <c r="B157" s="4" t="s">
        <v>72</v>
      </c>
      <c r="C157" s="4" t="s">
        <v>365</v>
      </c>
      <c r="D157" s="4" t="s">
        <v>74</v>
      </c>
      <c r="E157" s="4" t="s">
        <v>75</v>
      </c>
      <c r="F157" s="4" t="s">
        <v>76</v>
      </c>
      <c r="G157" s="4" t="s">
        <v>165</v>
      </c>
      <c r="H157" s="4" t="s">
        <v>78</v>
      </c>
      <c r="I157" s="4" t="s">
        <v>78</v>
      </c>
      <c r="J157" s="4" t="s">
        <v>85</v>
      </c>
      <c r="K157" s="4" t="s">
        <v>80</v>
      </c>
      <c r="L157" s="4" t="s">
        <v>81</v>
      </c>
      <c r="BI157" s="5">
        <v>0.00769769069279216</v>
      </c>
      <c r="BJ157" s="5">
        <v>0.00751520120243219</v>
      </c>
      <c r="BK157" s="5">
        <v>0.00683526999316473</v>
      </c>
      <c r="BL157" s="5">
        <v>0.00696864111498258</v>
      </c>
      <c r="BM157" s="5">
        <v>0.0</v>
      </c>
      <c r="BO157" s="5">
        <v>0.0</v>
      </c>
    </row>
    <row r="158" ht="15.75" customHeight="1">
      <c r="A158" s="4" t="str">
        <f t="shared" si="1"/>
        <v>Liabilities|Portfolio investment, Debt securities, Positions|Sudan|Half-yearly, semester</v>
      </c>
      <c r="B158" s="4" t="s">
        <v>72</v>
      </c>
      <c r="C158" s="4" t="s">
        <v>366</v>
      </c>
      <c r="D158" s="4" t="s">
        <v>74</v>
      </c>
      <c r="E158" s="4" t="s">
        <v>75</v>
      </c>
      <c r="F158" s="4" t="s">
        <v>76</v>
      </c>
      <c r="G158" s="4" t="s">
        <v>165</v>
      </c>
      <c r="H158" s="4" t="s">
        <v>78</v>
      </c>
      <c r="I158" s="4" t="s">
        <v>78</v>
      </c>
      <c r="J158" s="4" t="s">
        <v>367</v>
      </c>
      <c r="K158" s="4" t="s">
        <v>80</v>
      </c>
      <c r="L158" s="4" t="s">
        <v>81</v>
      </c>
      <c r="AL158" s="5">
        <v>0.0</v>
      </c>
      <c r="BI158" s="5">
        <v>0.0</v>
      </c>
      <c r="BM158" s="5">
        <v>0.0</v>
      </c>
      <c r="BO158" s="5">
        <v>0.0</v>
      </c>
    </row>
    <row r="159" ht="15.75" customHeight="1">
      <c r="A159" s="4" t="str">
        <f t="shared" si="1"/>
        <v>Liabilities|Portfolio investment, Debt securities, Positions|St. Vincent and the Grenadines|Half-yearly, semester</v>
      </c>
      <c r="B159" s="4" t="s">
        <v>72</v>
      </c>
      <c r="C159" s="4" t="s">
        <v>368</v>
      </c>
      <c r="D159" s="4" t="s">
        <v>74</v>
      </c>
      <c r="E159" s="4" t="s">
        <v>75</v>
      </c>
      <c r="F159" s="4" t="s">
        <v>76</v>
      </c>
      <c r="G159" s="4" t="s">
        <v>165</v>
      </c>
      <c r="H159" s="4" t="s">
        <v>78</v>
      </c>
      <c r="I159" s="4" t="s">
        <v>78</v>
      </c>
      <c r="J159" s="4" t="s">
        <v>369</v>
      </c>
      <c r="K159" s="4" t="s">
        <v>80</v>
      </c>
      <c r="L159" s="4" t="s">
        <v>81</v>
      </c>
      <c r="AL159" s="5">
        <v>0.0</v>
      </c>
      <c r="BI159" s="5">
        <v>0.0</v>
      </c>
      <c r="BM159" s="5">
        <v>0.0</v>
      </c>
      <c r="BO159" s="5">
        <v>0.0</v>
      </c>
    </row>
    <row r="160" ht="15.75" customHeight="1">
      <c r="A160" s="4" t="str">
        <f t="shared" si="1"/>
        <v>Liabilities|Portfolio investment, Debt securities, Positions|Jordan|Half-yearly, semester</v>
      </c>
      <c r="B160" s="4" t="s">
        <v>72</v>
      </c>
      <c r="C160" s="4" t="s">
        <v>370</v>
      </c>
      <c r="D160" s="4" t="s">
        <v>74</v>
      </c>
      <c r="E160" s="4" t="s">
        <v>75</v>
      </c>
      <c r="F160" s="4" t="s">
        <v>76</v>
      </c>
      <c r="G160" s="4" t="s">
        <v>165</v>
      </c>
      <c r="H160" s="4" t="s">
        <v>78</v>
      </c>
      <c r="I160" s="4" t="s">
        <v>78</v>
      </c>
      <c r="J160" s="4" t="s">
        <v>371</v>
      </c>
      <c r="K160" s="4" t="s">
        <v>80</v>
      </c>
      <c r="L160" s="4" t="s">
        <v>81</v>
      </c>
      <c r="AL160" s="5">
        <v>0.0</v>
      </c>
      <c r="BI160" s="5">
        <v>0.0</v>
      </c>
      <c r="BM160" s="5">
        <v>0.0</v>
      </c>
      <c r="BO160" s="5">
        <v>0.0</v>
      </c>
    </row>
    <row r="161" ht="15.75" customHeight="1">
      <c r="A161" s="4" t="str">
        <f t="shared" si="1"/>
        <v>Liabilities|Portfolio investment, Debt securities, Positions|Greece|Half-yearly, semester</v>
      </c>
      <c r="B161" s="4" t="s">
        <v>72</v>
      </c>
      <c r="C161" s="4" t="s">
        <v>372</v>
      </c>
      <c r="D161" s="4" t="s">
        <v>74</v>
      </c>
      <c r="E161" s="4" t="s">
        <v>75</v>
      </c>
      <c r="F161" s="4" t="s">
        <v>76</v>
      </c>
      <c r="G161" s="4" t="s">
        <v>165</v>
      </c>
      <c r="H161" s="4" t="s">
        <v>78</v>
      </c>
      <c r="I161" s="4" t="s">
        <v>78</v>
      </c>
      <c r="J161" s="4" t="s">
        <v>109</v>
      </c>
      <c r="K161" s="4" t="s">
        <v>80</v>
      </c>
      <c r="L161" s="4" t="s">
        <v>81</v>
      </c>
      <c r="AL161" s="5">
        <v>0.0</v>
      </c>
      <c r="AV161" s="5">
        <v>1.5658</v>
      </c>
      <c r="BI161" s="5">
        <v>0.0</v>
      </c>
      <c r="BM161" s="5">
        <v>0.0</v>
      </c>
      <c r="BO161" s="5">
        <v>0.0</v>
      </c>
    </row>
    <row r="162" ht="15.75" customHeight="1">
      <c r="A162" s="4" t="str">
        <f t="shared" si="1"/>
        <v>Liabilities|Portfolio investment, Debt securities, Positions|Aruba, Kingdom of the Netherlands|Half-yearly, semester</v>
      </c>
      <c r="B162" s="4" t="s">
        <v>72</v>
      </c>
      <c r="C162" s="4" t="s">
        <v>373</v>
      </c>
      <c r="D162" s="4" t="s">
        <v>74</v>
      </c>
      <c r="E162" s="4" t="s">
        <v>75</v>
      </c>
      <c r="F162" s="4" t="s">
        <v>76</v>
      </c>
      <c r="G162" s="4" t="s">
        <v>165</v>
      </c>
      <c r="H162" s="4" t="s">
        <v>78</v>
      </c>
      <c r="I162" s="4" t="s">
        <v>78</v>
      </c>
      <c r="J162" s="4" t="s">
        <v>374</v>
      </c>
      <c r="K162" s="4" t="s">
        <v>80</v>
      </c>
      <c r="L162" s="4" t="s">
        <v>81</v>
      </c>
      <c r="AL162" s="5">
        <v>0.0</v>
      </c>
      <c r="BI162" s="5">
        <v>0.0</v>
      </c>
      <c r="BM162" s="5">
        <v>0.0</v>
      </c>
      <c r="BO162" s="5">
        <v>0.0</v>
      </c>
    </row>
    <row r="163" ht="15.75" customHeight="1">
      <c r="A163" s="4" t="str">
        <f t="shared" si="1"/>
        <v>Liabilities|Portfolio investment, Debt securities, Positions|Oman|Half-yearly, semester</v>
      </c>
      <c r="B163" s="4" t="s">
        <v>72</v>
      </c>
      <c r="C163" s="4" t="s">
        <v>375</v>
      </c>
      <c r="D163" s="4" t="s">
        <v>74</v>
      </c>
      <c r="E163" s="4" t="s">
        <v>75</v>
      </c>
      <c r="F163" s="4" t="s">
        <v>76</v>
      </c>
      <c r="G163" s="4" t="s">
        <v>165</v>
      </c>
      <c r="H163" s="4" t="s">
        <v>78</v>
      </c>
      <c r="I163" s="4" t="s">
        <v>78</v>
      </c>
      <c r="J163" s="4" t="s">
        <v>227</v>
      </c>
      <c r="K163" s="4" t="s">
        <v>80</v>
      </c>
      <c r="L163" s="4" t="s">
        <v>81</v>
      </c>
      <c r="AL163" s="5">
        <v>0.0</v>
      </c>
      <c r="BI163" s="5">
        <v>0.0</v>
      </c>
      <c r="BM163" s="5">
        <v>0.0</v>
      </c>
      <c r="BO163" s="5">
        <v>0.0</v>
      </c>
    </row>
    <row r="164" ht="15.75" customHeight="1">
      <c r="A164" s="4" t="str">
        <f t="shared" si="1"/>
        <v>Liabilities|Portfolio investment, Debt securities, Positions|Guinea|Half-yearly, semester</v>
      </c>
      <c r="B164" s="4" t="s">
        <v>72</v>
      </c>
      <c r="C164" s="4" t="s">
        <v>376</v>
      </c>
      <c r="D164" s="4" t="s">
        <v>74</v>
      </c>
      <c r="E164" s="4" t="s">
        <v>75</v>
      </c>
      <c r="F164" s="4" t="s">
        <v>76</v>
      </c>
      <c r="G164" s="4" t="s">
        <v>165</v>
      </c>
      <c r="H164" s="4" t="s">
        <v>78</v>
      </c>
      <c r="I164" s="4" t="s">
        <v>78</v>
      </c>
      <c r="J164" s="4" t="s">
        <v>377</v>
      </c>
      <c r="K164" s="4" t="s">
        <v>80</v>
      </c>
      <c r="L164" s="4" t="s">
        <v>81</v>
      </c>
      <c r="AL164" s="5">
        <v>0.0</v>
      </c>
      <c r="BI164" s="5">
        <v>0.0</v>
      </c>
      <c r="BM164" s="5">
        <v>0.0</v>
      </c>
      <c r="BO164" s="5">
        <v>0.0</v>
      </c>
    </row>
    <row r="165" ht="15.75" customHeight="1">
      <c r="A165" s="4" t="str">
        <f t="shared" si="1"/>
        <v>Liabilities|Portfolio investment, Debt securities, Positions|Malawi|Half-yearly, semester</v>
      </c>
      <c r="B165" s="4" t="s">
        <v>72</v>
      </c>
      <c r="C165" s="4" t="s">
        <v>378</v>
      </c>
      <c r="D165" s="4" t="s">
        <v>74</v>
      </c>
      <c r="E165" s="4" t="s">
        <v>75</v>
      </c>
      <c r="F165" s="4" t="s">
        <v>76</v>
      </c>
      <c r="G165" s="4" t="s">
        <v>165</v>
      </c>
      <c r="H165" s="4" t="s">
        <v>78</v>
      </c>
      <c r="I165" s="4" t="s">
        <v>78</v>
      </c>
      <c r="J165" s="4" t="s">
        <v>225</v>
      </c>
      <c r="K165" s="4" t="s">
        <v>80</v>
      </c>
      <c r="L165" s="4" t="s">
        <v>81</v>
      </c>
      <c r="AL165" s="5">
        <v>0.0</v>
      </c>
      <c r="BI165" s="5">
        <v>0.0</v>
      </c>
      <c r="BM165" s="5">
        <v>0.0</v>
      </c>
      <c r="BO165" s="5">
        <v>0.0</v>
      </c>
    </row>
    <row r="166" ht="15.75" customHeight="1">
      <c r="A166" s="4" t="str">
        <f t="shared" si="1"/>
        <v>Liabilities|Portfolio investment, Debt securities, Positions|Iraq|Half-yearly, semester</v>
      </c>
      <c r="B166" s="4" t="s">
        <v>72</v>
      </c>
      <c r="C166" s="4" t="s">
        <v>379</v>
      </c>
      <c r="D166" s="4" t="s">
        <v>74</v>
      </c>
      <c r="E166" s="4" t="s">
        <v>75</v>
      </c>
      <c r="F166" s="4" t="s">
        <v>76</v>
      </c>
      <c r="G166" s="4" t="s">
        <v>165</v>
      </c>
      <c r="H166" s="4" t="s">
        <v>78</v>
      </c>
      <c r="I166" s="4" t="s">
        <v>78</v>
      </c>
      <c r="J166" s="4" t="s">
        <v>380</v>
      </c>
      <c r="K166" s="4" t="s">
        <v>80</v>
      </c>
      <c r="L166" s="4" t="s">
        <v>81</v>
      </c>
      <c r="AL166" s="5">
        <v>0.0</v>
      </c>
      <c r="BI166" s="5">
        <v>0.0</v>
      </c>
      <c r="BM166" s="5">
        <v>0.0</v>
      </c>
      <c r="BO166" s="5">
        <v>0.0</v>
      </c>
    </row>
    <row r="167" ht="15.75" customHeight="1">
      <c r="A167" s="4" t="str">
        <f t="shared" si="1"/>
        <v>Liabilities|Portfolio investment, Debt securities, Positions|Liechtenstein, Principality of|Half-yearly, semester</v>
      </c>
      <c r="B167" s="4" t="s">
        <v>72</v>
      </c>
      <c r="C167" s="4" t="s">
        <v>381</v>
      </c>
      <c r="D167" s="4" t="s">
        <v>74</v>
      </c>
      <c r="E167" s="4" t="s">
        <v>75</v>
      </c>
      <c r="F167" s="4" t="s">
        <v>76</v>
      </c>
      <c r="G167" s="4" t="s">
        <v>165</v>
      </c>
      <c r="H167" s="4" t="s">
        <v>78</v>
      </c>
      <c r="I167" s="4" t="s">
        <v>78</v>
      </c>
      <c r="J167" s="4" t="s">
        <v>87</v>
      </c>
      <c r="K167" s="4" t="s">
        <v>80</v>
      </c>
      <c r="L167" s="4" t="s">
        <v>81</v>
      </c>
      <c r="AL167" s="5">
        <v>0.0</v>
      </c>
      <c r="BI167" s="5">
        <v>0.0</v>
      </c>
      <c r="BM167" s="5">
        <v>0.0</v>
      </c>
      <c r="BO167" s="5">
        <v>0.0</v>
      </c>
    </row>
    <row r="168" ht="15.75" customHeight="1">
      <c r="A168" s="4" t="str">
        <f t="shared" si="1"/>
        <v>Liabilities|Portfolio investment, Debt securities, Positions|Palau, Republic of|Half-yearly, semester</v>
      </c>
      <c r="B168" s="4" t="s">
        <v>72</v>
      </c>
      <c r="C168" s="4" t="s">
        <v>382</v>
      </c>
      <c r="D168" s="4" t="s">
        <v>74</v>
      </c>
      <c r="E168" s="4" t="s">
        <v>75</v>
      </c>
      <c r="F168" s="4" t="s">
        <v>76</v>
      </c>
      <c r="G168" s="4" t="s">
        <v>165</v>
      </c>
      <c r="H168" s="4" t="s">
        <v>78</v>
      </c>
      <c r="I168" s="4" t="s">
        <v>78</v>
      </c>
      <c r="J168" s="4" t="s">
        <v>383</v>
      </c>
      <c r="K168" s="4" t="s">
        <v>80</v>
      </c>
      <c r="L168" s="4" t="s">
        <v>81</v>
      </c>
      <c r="AL168" s="5">
        <v>0.0</v>
      </c>
      <c r="BI168" s="5">
        <v>0.0</v>
      </c>
      <c r="BM168" s="5">
        <v>0.0</v>
      </c>
      <c r="BO168" s="5">
        <v>0.0</v>
      </c>
    </row>
    <row r="169" ht="15.75" customHeight="1">
      <c r="A169" s="4" t="str">
        <f t="shared" si="1"/>
        <v>Liabilities|Portfolio investment, Debt securities, Positions|Ecuador|Half-yearly, semester</v>
      </c>
      <c r="B169" s="4" t="s">
        <v>72</v>
      </c>
      <c r="C169" s="4" t="s">
        <v>384</v>
      </c>
      <c r="D169" s="4" t="s">
        <v>74</v>
      </c>
      <c r="E169" s="4" t="s">
        <v>75</v>
      </c>
      <c r="F169" s="4" t="s">
        <v>76</v>
      </c>
      <c r="G169" s="4" t="s">
        <v>165</v>
      </c>
      <c r="H169" s="4" t="s">
        <v>78</v>
      </c>
      <c r="I169" s="4" t="s">
        <v>78</v>
      </c>
      <c r="J169" s="4" t="s">
        <v>385</v>
      </c>
      <c r="K169" s="4" t="s">
        <v>80</v>
      </c>
      <c r="L169" s="4" t="s">
        <v>81</v>
      </c>
      <c r="AL169" s="5">
        <v>0.0</v>
      </c>
      <c r="BI169" s="5">
        <v>0.0</v>
      </c>
      <c r="BM169" s="5">
        <v>0.0</v>
      </c>
      <c r="BO169" s="5">
        <v>0.0</v>
      </c>
    </row>
    <row r="170" ht="15.75" customHeight="1">
      <c r="A170" s="4" t="str">
        <f t="shared" si="1"/>
        <v>Liabilities|Portfolio investment, Debt securities, Positions|Jamaica|Half-yearly, semester</v>
      </c>
      <c r="B170" s="4" t="s">
        <v>72</v>
      </c>
      <c r="C170" s="4" t="s">
        <v>386</v>
      </c>
      <c r="D170" s="4" t="s">
        <v>74</v>
      </c>
      <c r="E170" s="4" t="s">
        <v>75</v>
      </c>
      <c r="F170" s="4" t="s">
        <v>76</v>
      </c>
      <c r="G170" s="4" t="s">
        <v>165</v>
      </c>
      <c r="H170" s="4" t="s">
        <v>78</v>
      </c>
      <c r="I170" s="4" t="s">
        <v>78</v>
      </c>
      <c r="J170" s="4" t="s">
        <v>387</v>
      </c>
      <c r="K170" s="4" t="s">
        <v>80</v>
      </c>
      <c r="L170" s="4" t="s">
        <v>81</v>
      </c>
      <c r="AL170" s="5">
        <v>0.0</v>
      </c>
      <c r="BI170" s="5">
        <v>0.0</v>
      </c>
      <c r="BM170" s="5">
        <v>0.0</v>
      </c>
      <c r="BO170" s="5">
        <v>0.0</v>
      </c>
    </row>
    <row r="171" ht="15.75" customHeight="1">
      <c r="A171" s="4" t="str">
        <f t="shared" si="1"/>
        <v>Liabilities|Portfolio investment, Debt securities, Positions|Bolivia|Half-yearly, semester</v>
      </c>
      <c r="B171" s="4" t="s">
        <v>72</v>
      </c>
      <c r="C171" s="4" t="s">
        <v>388</v>
      </c>
      <c r="D171" s="4" t="s">
        <v>74</v>
      </c>
      <c r="E171" s="4" t="s">
        <v>75</v>
      </c>
      <c r="F171" s="4" t="s">
        <v>76</v>
      </c>
      <c r="G171" s="4" t="s">
        <v>165</v>
      </c>
      <c r="H171" s="4" t="s">
        <v>78</v>
      </c>
      <c r="I171" s="4" t="s">
        <v>78</v>
      </c>
      <c r="J171" s="4" t="s">
        <v>389</v>
      </c>
      <c r="K171" s="4" t="s">
        <v>80</v>
      </c>
      <c r="L171" s="4" t="s">
        <v>81</v>
      </c>
      <c r="AL171" s="5">
        <v>0.0</v>
      </c>
      <c r="BI171" s="5">
        <v>0.0</v>
      </c>
      <c r="BM171" s="5">
        <v>0.0</v>
      </c>
      <c r="BO171" s="5">
        <v>0.0</v>
      </c>
    </row>
    <row r="172" ht="15.75" customHeight="1">
      <c r="A172" s="4" t="str">
        <f t="shared" si="1"/>
        <v>Liabilities|Portfolio investment, Debt securities, Positions|Mayotte|Half-yearly, semester</v>
      </c>
      <c r="B172" s="4" t="s">
        <v>72</v>
      </c>
      <c r="C172" s="4" t="s">
        <v>390</v>
      </c>
      <c r="D172" s="4" t="s">
        <v>74</v>
      </c>
      <c r="E172" s="4" t="s">
        <v>75</v>
      </c>
      <c r="F172" s="4" t="s">
        <v>76</v>
      </c>
      <c r="G172" s="4" t="s">
        <v>165</v>
      </c>
      <c r="H172" s="4" t="s">
        <v>78</v>
      </c>
      <c r="I172" s="4" t="s">
        <v>78</v>
      </c>
      <c r="J172" s="4" t="s">
        <v>391</v>
      </c>
      <c r="K172" s="4" t="s">
        <v>80</v>
      </c>
      <c r="L172" s="4" t="s">
        <v>81</v>
      </c>
      <c r="AL172" s="5">
        <v>0.0</v>
      </c>
      <c r="BI172" s="5">
        <v>0.0</v>
      </c>
      <c r="BM172" s="5">
        <v>0.0</v>
      </c>
      <c r="BO172" s="5">
        <v>0.0</v>
      </c>
    </row>
    <row r="173" ht="15.75" customHeight="1">
      <c r="A173" s="4" t="str">
        <f t="shared" si="1"/>
        <v>Liabilities|Portfolio investment, Debt securities, Positions|Djibouti|Half-yearly, semester</v>
      </c>
      <c r="B173" s="4" t="s">
        <v>72</v>
      </c>
      <c r="C173" s="4" t="s">
        <v>394</v>
      </c>
      <c r="D173" s="4" t="s">
        <v>74</v>
      </c>
      <c r="E173" s="4" t="s">
        <v>75</v>
      </c>
      <c r="F173" s="4" t="s">
        <v>76</v>
      </c>
      <c r="G173" s="4" t="s">
        <v>165</v>
      </c>
      <c r="H173" s="4" t="s">
        <v>78</v>
      </c>
      <c r="I173" s="4" t="s">
        <v>78</v>
      </c>
      <c r="J173" s="4" t="s">
        <v>395</v>
      </c>
      <c r="K173" s="4" t="s">
        <v>80</v>
      </c>
      <c r="L173" s="4" t="s">
        <v>81</v>
      </c>
      <c r="AL173" s="5">
        <v>0.0</v>
      </c>
      <c r="BI173" s="5">
        <v>0.0</v>
      </c>
      <c r="BM173" s="5">
        <v>0.0</v>
      </c>
      <c r="BO173" s="5">
        <v>0.0</v>
      </c>
    </row>
    <row r="174" ht="15.75" customHeight="1">
      <c r="A174" s="4" t="str">
        <f t="shared" si="1"/>
        <v>Liabilities|Portfolio investment, Debt securities, Positions|Israel|Half-yearly, semester</v>
      </c>
      <c r="B174" s="4" t="s">
        <v>72</v>
      </c>
      <c r="C174" s="4" t="s">
        <v>396</v>
      </c>
      <c r="D174" s="4" t="s">
        <v>74</v>
      </c>
      <c r="E174" s="4" t="s">
        <v>75</v>
      </c>
      <c r="F174" s="4" t="s">
        <v>76</v>
      </c>
      <c r="G174" s="4" t="s">
        <v>165</v>
      </c>
      <c r="H174" s="4" t="s">
        <v>78</v>
      </c>
      <c r="I174" s="4" t="s">
        <v>78</v>
      </c>
      <c r="J174" s="4" t="s">
        <v>236</v>
      </c>
      <c r="K174" s="4" t="s">
        <v>80</v>
      </c>
      <c r="L174" s="4" t="s">
        <v>81</v>
      </c>
      <c r="AL174" s="5">
        <v>0.0</v>
      </c>
      <c r="BI174" s="5">
        <v>0.0</v>
      </c>
      <c r="BM174" s="5">
        <v>0.0</v>
      </c>
      <c r="BO174" s="5">
        <v>0.0</v>
      </c>
    </row>
    <row r="175" ht="15.75" customHeight="1">
      <c r="A175" s="4" t="str">
        <f t="shared" si="1"/>
        <v>Liabilities|Portfolio investment, Debt securities, Positions|Bangladesh|Half-yearly, semester</v>
      </c>
      <c r="B175" s="4" t="s">
        <v>72</v>
      </c>
      <c r="C175" s="4" t="s">
        <v>397</v>
      </c>
      <c r="D175" s="4" t="s">
        <v>74</v>
      </c>
      <c r="E175" s="4" t="s">
        <v>75</v>
      </c>
      <c r="F175" s="4" t="s">
        <v>76</v>
      </c>
      <c r="G175" s="4" t="s">
        <v>165</v>
      </c>
      <c r="H175" s="4" t="s">
        <v>78</v>
      </c>
      <c r="I175" s="4" t="s">
        <v>78</v>
      </c>
      <c r="J175" s="4" t="s">
        <v>137</v>
      </c>
      <c r="K175" s="4" t="s">
        <v>80</v>
      </c>
      <c r="L175" s="4" t="s">
        <v>81</v>
      </c>
      <c r="AL175" s="5">
        <v>0.0</v>
      </c>
      <c r="BI175" s="5">
        <v>0.0</v>
      </c>
      <c r="BM175" s="5">
        <v>0.0</v>
      </c>
      <c r="BO175" s="5">
        <v>0.0</v>
      </c>
    </row>
    <row r="176" ht="15.75" customHeight="1">
      <c r="A176" s="4" t="str">
        <f t="shared" si="1"/>
        <v>Liabilities|Portfolio investment, Debt securities, Positions|Guinea-Bissau|Half-yearly, semester</v>
      </c>
      <c r="B176" s="4" t="s">
        <v>72</v>
      </c>
      <c r="C176" s="4" t="s">
        <v>398</v>
      </c>
      <c r="D176" s="4" t="s">
        <v>74</v>
      </c>
      <c r="E176" s="4" t="s">
        <v>75</v>
      </c>
      <c r="F176" s="4" t="s">
        <v>76</v>
      </c>
      <c r="G176" s="4" t="s">
        <v>165</v>
      </c>
      <c r="H176" s="4" t="s">
        <v>78</v>
      </c>
      <c r="I176" s="4" t="s">
        <v>78</v>
      </c>
      <c r="J176" s="4" t="s">
        <v>399</v>
      </c>
      <c r="K176" s="4" t="s">
        <v>80</v>
      </c>
      <c r="L176" s="4" t="s">
        <v>81</v>
      </c>
      <c r="AL176" s="5">
        <v>0.0</v>
      </c>
      <c r="BI176" s="5">
        <v>0.0</v>
      </c>
      <c r="BM176" s="5">
        <v>0.0</v>
      </c>
      <c r="BO176" s="5">
        <v>0.0</v>
      </c>
    </row>
    <row r="177" ht="15.75" customHeight="1">
      <c r="A177" s="4" t="str">
        <f t="shared" si="1"/>
        <v>Liabilities|Portfolio investment, Debt securities, Positions|Bhutan|Half-yearly, semester</v>
      </c>
      <c r="B177" s="4" t="s">
        <v>72</v>
      </c>
      <c r="C177" s="4" t="s">
        <v>400</v>
      </c>
      <c r="D177" s="4" t="s">
        <v>74</v>
      </c>
      <c r="E177" s="4" t="s">
        <v>75</v>
      </c>
      <c r="F177" s="4" t="s">
        <v>76</v>
      </c>
      <c r="G177" s="4" t="s">
        <v>165</v>
      </c>
      <c r="H177" s="4" t="s">
        <v>78</v>
      </c>
      <c r="I177" s="4" t="s">
        <v>78</v>
      </c>
      <c r="J177" s="4" t="s">
        <v>159</v>
      </c>
      <c r="K177" s="4" t="s">
        <v>80</v>
      </c>
      <c r="L177" s="4" t="s">
        <v>81</v>
      </c>
      <c r="AL177" s="5">
        <v>0.0</v>
      </c>
      <c r="BI177" s="5">
        <v>0.0</v>
      </c>
      <c r="BM177" s="5">
        <v>0.0</v>
      </c>
      <c r="BO177" s="5">
        <v>0.0</v>
      </c>
    </row>
    <row r="178" ht="15.75" customHeight="1">
      <c r="A178" s="4" t="str">
        <f t="shared" si="1"/>
        <v>Liabilities|Portfolio investment, Debt securities, Positions|Cabo Verde|Half-yearly, semester</v>
      </c>
      <c r="B178" s="4" t="s">
        <v>72</v>
      </c>
      <c r="C178" s="4" t="s">
        <v>401</v>
      </c>
      <c r="D178" s="4" t="s">
        <v>74</v>
      </c>
      <c r="E178" s="4" t="s">
        <v>75</v>
      </c>
      <c r="F178" s="4" t="s">
        <v>76</v>
      </c>
      <c r="G178" s="4" t="s">
        <v>165</v>
      </c>
      <c r="H178" s="4" t="s">
        <v>78</v>
      </c>
      <c r="I178" s="4" t="s">
        <v>78</v>
      </c>
      <c r="J178" s="4" t="s">
        <v>402</v>
      </c>
      <c r="K178" s="4" t="s">
        <v>80</v>
      </c>
      <c r="L178" s="4" t="s">
        <v>81</v>
      </c>
      <c r="AL178" s="5">
        <v>0.0</v>
      </c>
      <c r="BI178" s="5">
        <v>0.0</v>
      </c>
      <c r="BM178" s="5">
        <v>0.0</v>
      </c>
      <c r="BO178" s="5">
        <v>0.0</v>
      </c>
    </row>
    <row r="179" ht="15.75" customHeight="1">
      <c r="A179" s="4" t="str">
        <f t="shared" si="1"/>
        <v>Liabilities|Portfolio investment, Debt securities, Positions|Greenland|Half-yearly, semester</v>
      </c>
      <c r="B179" s="4" t="s">
        <v>72</v>
      </c>
      <c r="C179" s="4" t="s">
        <v>403</v>
      </c>
      <c r="D179" s="4" t="s">
        <v>74</v>
      </c>
      <c r="E179" s="4" t="s">
        <v>75</v>
      </c>
      <c r="F179" s="4" t="s">
        <v>76</v>
      </c>
      <c r="G179" s="4" t="s">
        <v>165</v>
      </c>
      <c r="H179" s="4" t="s">
        <v>78</v>
      </c>
      <c r="I179" s="4" t="s">
        <v>78</v>
      </c>
      <c r="J179" s="4" t="s">
        <v>404</v>
      </c>
      <c r="K179" s="4" t="s">
        <v>80</v>
      </c>
      <c r="L179" s="4" t="s">
        <v>81</v>
      </c>
      <c r="AL179" s="5">
        <v>0.0</v>
      </c>
      <c r="BI179" s="5">
        <v>0.0</v>
      </c>
      <c r="BM179" s="5">
        <v>0.0</v>
      </c>
      <c r="BO179" s="5">
        <v>0.0</v>
      </c>
    </row>
    <row r="180" ht="15.75" customHeight="1">
      <c r="A180" s="4" t="str">
        <f t="shared" si="1"/>
        <v>Liabilities|Portfolio investment, Debt securities, Positions|Pakistan|Half-yearly, semester</v>
      </c>
      <c r="B180" s="4" t="s">
        <v>72</v>
      </c>
      <c r="C180" s="4" t="s">
        <v>405</v>
      </c>
      <c r="D180" s="4" t="s">
        <v>74</v>
      </c>
      <c r="E180" s="4" t="s">
        <v>75</v>
      </c>
      <c r="F180" s="4" t="s">
        <v>76</v>
      </c>
      <c r="G180" s="4" t="s">
        <v>165</v>
      </c>
      <c r="H180" s="4" t="s">
        <v>78</v>
      </c>
      <c r="I180" s="4" t="s">
        <v>78</v>
      </c>
      <c r="J180" s="4" t="s">
        <v>163</v>
      </c>
      <c r="K180" s="4" t="s">
        <v>80</v>
      </c>
      <c r="L180" s="4" t="s">
        <v>81</v>
      </c>
      <c r="AL180" s="5">
        <v>0.0</v>
      </c>
      <c r="BI180" s="5">
        <v>0.0</v>
      </c>
      <c r="BM180" s="5">
        <v>0.0</v>
      </c>
      <c r="BO180" s="5">
        <v>0.0</v>
      </c>
    </row>
    <row r="181" ht="15.75" customHeight="1">
      <c r="A181" s="4" t="str">
        <f t="shared" si="1"/>
        <v>Liabilities|Portfolio investment, Debt securities, Positions|Pitcairn Islands|Half-yearly, semester</v>
      </c>
      <c r="B181" s="4" t="s">
        <v>72</v>
      </c>
      <c r="C181" s="4" t="s">
        <v>406</v>
      </c>
      <c r="D181" s="4" t="s">
        <v>74</v>
      </c>
      <c r="E181" s="4" t="s">
        <v>75</v>
      </c>
      <c r="F181" s="4" t="s">
        <v>76</v>
      </c>
      <c r="G181" s="4" t="s">
        <v>165</v>
      </c>
      <c r="H181" s="4" t="s">
        <v>78</v>
      </c>
      <c r="I181" s="4" t="s">
        <v>78</v>
      </c>
      <c r="J181" s="4" t="s">
        <v>407</v>
      </c>
      <c r="K181" s="4" t="s">
        <v>80</v>
      </c>
      <c r="L181" s="4" t="s">
        <v>81</v>
      </c>
      <c r="AL181" s="5">
        <v>0.0</v>
      </c>
      <c r="BI181" s="5">
        <v>0.0</v>
      </c>
      <c r="BM181" s="5">
        <v>0.0</v>
      </c>
      <c r="BO181" s="5">
        <v>0.0</v>
      </c>
    </row>
    <row r="182" ht="15.75" customHeight="1">
      <c r="A182" s="4" t="str">
        <f t="shared" si="1"/>
        <v>Liabilities|Portfolio investment, Debt securities, Positions|Somalia|Half-yearly, semester</v>
      </c>
      <c r="B182" s="4" t="s">
        <v>72</v>
      </c>
      <c r="C182" s="4" t="s">
        <v>408</v>
      </c>
      <c r="D182" s="4" t="s">
        <v>74</v>
      </c>
      <c r="E182" s="4" t="s">
        <v>75</v>
      </c>
      <c r="F182" s="4" t="s">
        <v>76</v>
      </c>
      <c r="G182" s="4" t="s">
        <v>165</v>
      </c>
      <c r="H182" s="4" t="s">
        <v>78</v>
      </c>
      <c r="I182" s="4" t="s">
        <v>78</v>
      </c>
      <c r="J182" s="4" t="s">
        <v>409</v>
      </c>
      <c r="K182" s="4" t="s">
        <v>80</v>
      </c>
      <c r="L182" s="4" t="s">
        <v>81</v>
      </c>
      <c r="AL182" s="5">
        <v>0.0</v>
      </c>
      <c r="BI182" s="5">
        <v>0.0</v>
      </c>
      <c r="BM182" s="5">
        <v>0.0</v>
      </c>
      <c r="BO182" s="5">
        <v>0.0</v>
      </c>
    </row>
    <row r="183" ht="15.75" customHeight="1">
      <c r="A183" s="4" t="str">
        <f t="shared" si="1"/>
        <v>Liabilities|Portfolio investment, Debt securities, Positions|Yemen, Republic of|Half-yearly, semester</v>
      </c>
      <c r="B183" s="4" t="s">
        <v>72</v>
      </c>
      <c r="C183" s="4" t="s">
        <v>410</v>
      </c>
      <c r="D183" s="4" t="s">
        <v>74</v>
      </c>
      <c r="E183" s="4" t="s">
        <v>75</v>
      </c>
      <c r="F183" s="4" t="s">
        <v>76</v>
      </c>
      <c r="G183" s="4" t="s">
        <v>165</v>
      </c>
      <c r="H183" s="4" t="s">
        <v>78</v>
      </c>
      <c r="I183" s="4" t="s">
        <v>78</v>
      </c>
      <c r="J183" s="4" t="s">
        <v>411</v>
      </c>
      <c r="K183" s="4" t="s">
        <v>80</v>
      </c>
      <c r="L183" s="4" t="s">
        <v>81</v>
      </c>
      <c r="AL183" s="5">
        <v>0.0</v>
      </c>
      <c r="BI183" s="5">
        <v>0.0</v>
      </c>
      <c r="BM183" s="5">
        <v>0.0</v>
      </c>
      <c r="BO183" s="5">
        <v>0.0</v>
      </c>
    </row>
    <row r="184" ht="15.75" customHeight="1">
      <c r="A184" s="4" t="str">
        <f t="shared" si="1"/>
        <v>Liabilities|Portfolio investment, Debt securities, Positions|Azerbaijan, Republic of|Half-yearly, semester</v>
      </c>
      <c r="B184" s="4" t="s">
        <v>72</v>
      </c>
      <c r="C184" s="4" t="s">
        <v>412</v>
      </c>
      <c r="D184" s="4" t="s">
        <v>74</v>
      </c>
      <c r="E184" s="4" t="s">
        <v>75</v>
      </c>
      <c r="F184" s="4" t="s">
        <v>76</v>
      </c>
      <c r="G184" s="4" t="s">
        <v>165</v>
      </c>
      <c r="H184" s="4" t="s">
        <v>78</v>
      </c>
      <c r="I184" s="4" t="s">
        <v>78</v>
      </c>
      <c r="J184" s="4" t="s">
        <v>413</v>
      </c>
      <c r="K184" s="4" t="s">
        <v>80</v>
      </c>
      <c r="L184" s="4" t="s">
        <v>81</v>
      </c>
      <c r="AL184" s="5">
        <v>0.0</v>
      </c>
      <c r="BI184" s="5">
        <v>0.0</v>
      </c>
      <c r="BM184" s="5">
        <v>0.0</v>
      </c>
      <c r="BO184" s="5">
        <v>0.0</v>
      </c>
    </row>
    <row r="185" ht="15.75" customHeight="1">
      <c r="A185" s="4" t="str">
        <f t="shared" si="1"/>
        <v>Liabilities|Portfolio investment, Debt securities, Positions|Armenia, Republic of|Half-yearly, semester</v>
      </c>
      <c r="B185" s="4" t="s">
        <v>72</v>
      </c>
      <c r="C185" s="4" t="s">
        <v>414</v>
      </c>
      <c r="D185" s="4" t="s">
        <v>74</v>
      </c>
      <c r="E185" s="4" t="s">
        <v>75</v>
      </c>
      <c r="F185" s="4" t="s">
        <v>76</v>
      </c>
      <c r="G185" s="4" t="s">
        <v>165</v>
      </c>
      <c r="H185" s="4" t="s">
        <v>78</v>
      </c>
      <c r="I185" s="4" t="s">
        <v>78</v>
      </c>
      <c r="J185" s="4" t="s">
        <v>123</v>
      </c>
      <c r="K185" s="4" t="s">
        <v>80</v>
      </c>
      <c r="L185" s="4" t="s">
        <v>81</v>
      </c>
      <c r="AL185" s="5">
        <v>0.0</v>
      </c>
      <c r="BI185" s="5">
        <v>0.0</v>
      </c>
      <c r="BM185" s="5">
        <v>0.0</v>
      </c>
      <c r="BO185" s="5">
        <v>0.0</v>
      </c>
    </row>
    <row r="186" ht="15.75" customHeight="1">
      <c r="A186" s="4" t="str">
        <f t="shared" si="1"/>
        <v>Liabilities|Portfolio investment, Debt securities, Positions|Burkina Faso|Half-yearly, semester</v>
      </c>
      <c r="B186" s="4" t="s">
        <v>72</v>
      </c>
      <c r="C186" s="4" t="s">
        <v>415</v>
      </c>
      <c r="D186" s="4" t="s">
        <v>74</v>
      </c>
      <c r="E186" s="4" t="s">
        <v>75</v>
      </c>
      <c r="F186" s="4" t="s">
        <v>76</v>
      </c>
      <c r="G186" s="4" t="s">
        <v>165</v>
      </c>
      <c r="H186" s="4" t="s">
        <v>78</v>
      </c>
      <c r="I186" s="4" t="s">
        <v>78</v>
      </c>
      <c r="J186" s="4" t="s">
        <v>416</v>
      </c>
      <c r="K186" s="4" t="s">
        <v>80</v>
      </c>
      <c r="L186" s="4" t="s">
        <v>81</v>
      </c>
      <c r="AL186" s="5">
        <v>0.0</v>
      </c>
      <c r="BI186" s="5">
        <v>0.0</v>
      </c>
      <c r="BM186" s="5">
        <v>0.0</v>
      </c>
      <c r="BO186" s="5">
        <v>0.0</v>
      </c>
    </row>
    <row r="187" ht="15.75" customHeight="1">
      <c r="A187" s="4" t="str">
        <f t="shared" si="1"/>
        <v>Liabilities|Portfolio investment, Debt securities, Positions|Kazakhstan, Republic of|Half-yearly, semester</v>
      </c>
      <c r="B187" s="4" t="s">
        <v>72</v>
      </c>
      <c r="C187" s="4" t="s">
        <v>417</v>
      </c>
      <c r="D187" s="4" t="s">
        <v>74</v>
      </c>
      <c r="E187" s="4" t="s">
        <v>75</v>
      </c>
      <c r="F187" s="4" t="s">
        <v>76</v>
      </c>
      <c r="G187" s="4" t="s">
        <v>165</v>
      </c>
      <c r="H187" s="4" t="s">
        <v>78</v>
      </c>
      <c r="I187" s="4" t="s">
        <v>78</v>
      </c>
      <c r="J187" s="4" t="s">
        <v>204</v>
      </c>
      <c r="K187" s="4" t="s">
        <v>80</v>
      </c>
      <c r="L187" s="4" t="s">
        <v>81</v>
      </c>
      <c r="AL187" s="5">
        <v>0.0</v>
      </c>
      <c r="BI187" s="5">
        <v>0.0</v>
      </c>
      <c r="BM187" s="5">
        <v>0.0</v>
      </c>
      <c r="BO187" s="5">
        <v>0.0</v>
      </c>
    </row>
    <row r="188" ht="15.75" customHeight="1">
      <c r="A188" s="4" t="str">
        <f t="shared" si="1"/>
        <v>Liabilities|Portfolio investment, Debt securities, Positions|Naoero, Republic of|Half-yearly, semester</v>
      </c>
      <c r="B188" s="4" t="s">
        <v>72</v>
      </c>
      <c r="C188" s="4" t="s">
        <v>418</v>
      </c>
      <c r="D188" s="4" t="s">
        <v>74</v>
      </c>
      <c r="E188" s="4" t="s">
        <v>75</v>
      </c>
      <c r="F188" s="4" t="s">
        <v>76</v>
      </c>
      <c r="G188" s="4" t="s">
        <v>165</v>
      </c>
      <c r="H188" s="4" t="s">
        <v>78</v>
      </c>
      <c r="I188" s="4" t="s">
        <v>78</v>
      </c>
      <c r="J188" s="4" t="s">
        <v>99</v>
      </c>
      <c r="K188" s="4" t="s">
        <v>80</v>
      </c>
      <c r="L188" s="4" t="s">
        <v>81</v>
      </c>
      <c r="AL188" s="5">
        <v>0.0</v>
      </c>
      <c r="BI188" s="5">
        <v>0.0</v>
      </c>
      <c r="BM188" s="5">
        <v>0.0</v>
      </c>
      <c r="BO188" s="5">
        <v>0.0</v>
      </c>
    </row>
    <row r="189" ht="15.75" customHeight="1">
      <c r="A189" s="4" t="str">
        <f t="shared" si="1"/>
        <v>Liabilities|Portfolio investment, Debt securities, Positions|Norfolk Island|Half-yearly, semester</v>
      </c>
      <c r="B189" s="4" t="s">
        <v>72</v>
      </c>
      <c r="C189" s="4" t="s">
        <v>419</v>
      </c>
      <c r="D189" s="4" t="s">
        <v>74</v>
      </c>
      <c r="E189" s="4" t="s">
        <v>75</v>
      </c>
      <c r="F189" s="4" t="s">
        <v>76</v>
      </c>
      <c r="G189" s="4" t="s">
        <v>165</v>
      </c>
      <c r="H189" s="4" t="s">
        <v>78</v>
      </c>
      <c r="I189" s="4" t="s">
        <v>78</v>
      </c>
      <c r="J189" s="4" t="s">
        <v>176</v>
      </c>
      <c r="K189" s="4" t="s">
        <v>80</v>
      </c>
      <c r="L189" s="4" t="s">
        <v>81</v>
      </c>
      <c r="AL189" s="5">
        <v>0.0</v>
      </c>
      <c r="BI189" s="5">
        <v>0.0</v>
      </c>
      <c r="BM189" s="5">
        <v>0.0</v>
      </c>
      <c r="BO189" s="5">
        <v>0.0</v>
      </c>
    </row>
    <row r="190" ht="15.75" customHeight="1">
      <c r="A190" s="4" t="str">
        <f t="shared" si="1"/>
        <v>Liabilities|Portfolio investment, Debt securities, Positions|Vietnam|Half-yearly, semester</v>
      </c>
      <c r="B190" s="4" t="s">
        <v>72</v>
      </c>
      <c r="C190" s="4" t="s">
        <v>420</v>
      </c>
      <c r="D190" s="4" t="s">
        <v>74</v>
      </c>
      <c r="E190" s="4" t="s">
        <v>75</v>
      </c>
      <c r="F190" s="4" t="s">
        <v>76</v>
      </c>
      <c r="G190" s="4" t="s">
        <v>165</v>
      </c>
      <c r="H190" s="4" t="s">
        <v>78</v>
      </c>
      <c r="I190" s="4" t="s">
        <v>78</v>
      </c>
      <c r="J190" s="4" t="s">
        <v>161</v>
      </c>
      <c r="K190" s="4" t="s">
        <v>80</v>
      </c>
      <c r="L190" s="4" t="s">
        <v>81</v>
      </c>
      <c r="AL190" s="5">
        <v>0.0</v>
      </c>
      <c r="BI190" s="5">
        <v>0.0</v>
      </c>
      <c r="BM190" s="5">
        <v>0.0</v>
      </c>
      <c r="BO190" s="5">
        <v>0.0</v>
      </c>
    </row>
    <row r="191" ht="15.75" customHeight="1">
      <c r="A191" s="4" t="str">
        <f t="shared" si="1"/>
        <v>Liabilities|Portfolio investment, Debt securities, Positions|Maldives|Half-yearly, semester</v>
      </c>
      <c r="B191" s="4" t="s">
        <v>72</v>
      </c>
      <c r="C191" s="4" t="s">
        <v>421</v>
      </c>
      <c r="D191" s="4" t="s">
        <v>74</v>
      </c>
      <c r="E191" s="4" t="s">
        <v>75</v>
      </c>
      <c r="F191" s="4" t="s">
        <v>76</v>
      </c>
      <c r="G191" s="4" t="s">
        <v>165</v>
      </c>
      <c r="H191" s="4" t="s">
        <v>78</v>
      </c>
      <c r="I191" s="4" t="s">
        <v>78</v>
      </c>
      <c r="J191" s="4" t="s">
        <v>422</v>
      </c>
      <c r="K191" s="4" t="s">
        <v>80</v>
      </c>
      <c r="L191" s="4" t="s">
        <v>81</v>
      </c>
      <c r="AL191" s="5">
        <v>0.0</v>
      </c>
      <c r="BI191" s="5">
        <v>0.0</v>
      </c>
      <c r="BM191" s="5">
        <v>0.0</v>
      </c>
      <c r="BO191" s="5">
        <v>0.0</v>
      </c>
    </row>
    <row r="192" ht="15.75" customHeight="1">
      <c r="A192" s="4" t="str">
        <f t="shared" si="1"/>
        <v>Liabilities|Portfolio investment, Debt securities, Positions|Guam|Half-yearly, semester</v>
      </c>
      <c r="B192" s="4" t="s">
        <v>72</v>
      </c>
      <c r="C192" s="4" t="s">
        <v>423</v>
      </c>
      <c r="D192" s="4" t="s">
        <v>74</v>
      </c>
      <c r="E192" s="4" t="s">
        <v>75</v>
      </c>
      <c r="F192" s="4" t="s">
        <v>76</v>
      </c>
      <c r="G192" s="4" t="s">
        <v>165</v>
      </c>
      <c r="H192" s="4" t="s">
        <v>78</v>
      </c>
      <c r="I192" s="4" t="s">
        <v>78</v>
      </c>
      <c r="J192" s="4" t="s">
        <v>242</v>
      </c>
      <c r="K192" s="4" t="s">
        <v>80</v>
      </c>
      <c r="L192" s="4" t="s">
        <v>81</v>
      </c>
      <c r="AL192" s="5">
        <v>0.0</v>
      </c>
      <c r="BI192" s="5">
        <v>0.0</v>
      </c>
      <c r="BM192" s="5">
        <v>0.0</v>
      </c>
      <c r="BO192" s="5">
        <v>0.0</v>
      </c>
    </row>
    <row r="193" ht="15.75" customHeight="1">
      <c r="A193" s="4" t="str">
        <f t="shared" si="1"/>
        <v>Liabilities|Portfolio investment, Debt securities, Positions|Comoros, Union of the|Half-yearly, semester</v>
      </c>
      <c r="B193" s="4" t="s">
        <v>72</v>
      </c>
      <c r="C193" s="4" t="s">
        <v>424</v>
      </c>
      <c r="D193" s="4" t="s">
        <v>74</v>
      </c>
      <c r="E193" s="4" t="s">
        <v>75</v>
      </c>
      <c r="F193" s="4" t="s">
        <v>76</v>
      </c>
      <c r="G193" s="4" t="s">
        <v>165</v>
      </c>
      <c r="H193" s="4" t="s">
        <v>78</v>
      </c>
      <c r="I193" s="4" t="s">
        <v>78</v>
      </c>
      <c r="J193" s="4" t="s">
        <v>425</v>
      </c>
      <c r="K193" s="4" t="s">
        <v>80</v>
      </c>
      <c r="L193" s="4" t="s">
        <v>81</v>
      </c>
      <c r="AL193" s="5">
        <v>0.0</v>
      </c>
      <c r="BI193" s="5">
        <v>0.0</v>
      </c>
      <c r="BM193" s="5">
        <v>0.0</v>
      </c>
      <c r="BO193" s="5">
        <v>0.0</v>
      </c>
    </row>
    <row r="194" ht="15.75" customHeight="1">
      <c r="A194" s="4" t="str">
        <f t="shared" si="1"/>
        <v>Liabilities|Portfolio investment, Debt securities, Positions|Cambodia|Half-yearly, semester</v>
      </c>
      <c r="B194" s="4" t="s">
        <v>72</v>
      </c>
      <c r="C194" s="4" t="s">
        <v>426</v>
      </c>
      <c r="D194" s="4" t="s">
        <v>74</v>
      </c>
      <c r="E194" s="4" t="s">
        <v>75</v>
      </c>
      <c r="F194" s="4" t="s">
        <v>76</v>
      </c>
      <c r="G194" s="4" t="s">
        <v>165</v>
      </c>
      <c r="H194" s="4" t="s">
        <v>78</v>
      </c>
      <c r="I194" s="4" t="s">
        <v>78</v>
      </c>
      <c r="J194" s="4" t="s">
        <v>197</v>
      </c>
      <c r="K194" s="4" t="s">
        <v>80</v>
      </c>
      <c r="L194" s="4" t="s">
        <v>81</v>
      </c>
      <c r="AL194" s="5">
        <v>0.0</v>
      </c>
      <c r="BI194" s="5">
        <v>0.0</v>
      </c>
      <c r="BM194" s="5">
        <v>0.0</v>
      </c>
      <c r="BO194" s="5">
        <v>0.0</v>
      </c>
    </row>
    <row r="195" ht="15.75" customHeight="1">
      <c r="A195" s="4" t="str">
        <f t="shared" si="1"/>
        <v>Liabilities|Portfolio investment, Debt securities, Positions|Mauritius|Half-yearly, semester</v>
      </c>
      <c r="B195" s="4" t="s">
        <v>72</v>
      </c>
      <c r="C195" s="4" t="s">
        <v>427</v>
      </c>
      <c r="D195" s="4" t="s">
        <v>74</v>
      </c>
      <c r="E195" s="4" t="s">
        <v>75</v>
      </c>
      <c r="F195" s="4" t="s">
        <v>76</v>
      </c>
      <c r="G195" s="4" t="s">
        <v>165</v>
      </c>
      <c r="H195" s="4" t="s">
        <v>78</v>
      </c>
      <c r="I195" s="4" t="s">
        <v>78</v>
      </c>
      <c r="J195" s="4" t="s">
        <v>428</v>
      </c>
      <c r="K195" s="4" t="s">
        <v>80</v>
      </c>
      <c r="L195" s="4" t="s">
        <v>81</v>
      </c>
      <c r="AL195" s="5">
        <v>0.0</v>
      </c>
      <c r="BI195" s="5">
        <v>0.0</v>
      </c>
      <c r="BM195" s="5">
        <v>0.0</v>
      </c>
      <c r="BO195" s="5">
        <v>0.0</v>
      </c>
    </row>
    <row r="196" ht="15.75" customHeight="1">
      <c r="A196" s="4" t="str">
        <f t="shared" si="1"/>
        <v>Liabilities|Portfolio investment, Debt securities, Positions|Lebanon|Half-yearly, semester</v>
      </c>
      <c r="B196" s="4" t="s">
        <v>72</v>
      </c>
      <c r="C196" s="4" t="s">
        <v>429</v>
      </c>
      <c r="D196" s="4" t="s">
        <v>74</v>
      </c>
      <c r="E196" s="4" t="s">
        <v>75</v>
      </c>
      <c r="F196" s="4" t="s">
        <v>76</v>
      </c>
      <c r="G196" s="4" t="s">
        <v>165</v>
      </c>
      <c r="H196" s="4" t="s">
        <v>78</v>
      </c>
      <c r="I196" s="4" t="s">
        <v>78</v>
      </c>
      <c r="J196" s="4" t="s">
        <v>430</v>
      </c>
      <c r="K196" s="4" t="s">
        <v>80</v>
      </c>
      <c r="L196" s="4" t="s">
        <v>81</v>
      </c>
      <c r="AL196" s="5">
        <v>0.0</v>
      </c>
      <c r="BI196" s="5">
        <v>0.0</v>
      </c>
      <c r="BM196" s="5">
        <v>0.0</v>
      </c>
      <c r="BO196" s="5">
        <v>0.0</v>
      </c>
      <c r="BQ196" s="5">
        <v>4.24757281553398</v>
      </c>
    </row>
    <row r="197" ht="15.75" customHeight="1">
      <c r="A197" s="4" t="str">
        <f t="shared" si="1"/>
        <v>Liabilities|Portfolio investment, Debt securities, Positions|North Macedonia, Republic of|Half-yearly, semester</v>
      </c>
      <c r="B197" s="4" t="s">
        <v>72</v>
      </c>
      <c r="C197" s="4" t="s">
        <v>431</v>
      </c>
      <c r="D197" s="4" t="s">
        <v>74</v>
      </c>
      <c r="E197" s="4" t="s">
        <v>75</v>
      </c>
      <c r="F197" s="4" t="s">
        <v>76</v>
      </c>
      <c r="G197" s="4" t="s">
        <v>165</v>
      </c>
      <c r="H197" s="4" t="s">
        <v>78</v>
      </c>
      <c r="I197" s="4" t="s">
        <v>78</v>
      </c>
      <c r="J197" s="4" t="s">
        <v>432</v>
      </c>
      <c r="K197" s="4" t="s">
        <v>80</v>
      </c>
      <c r="L197" s="4" t="s">
        <v>81</v>
      </c>
      <c r="AL197" s="5">
        <v>0.0</v>
      </c>
      <c r="BI197" s="5">
        <v>0.0</v>
      </c>
      <c r="BM197" s="5">
        <v>0.0</v>
      </c>
      <c r="BO197" s="5">
        <v>0.0</v>
      </c>
    </row>
    <row r="198" ht="15.75" customHeight="1">
      <c r="A198" s="4" t="str">
        <f t="shared" si="1"/>
        <v>Liabilities|Portfolio investment, Debt securities, Positions|Senegal|Half-yearly, semester</v>
      </c>
      <c r="B198" s="4" t="s">
        <v>72</v>
      </c>
      <c r="C198" s="4" t="s">
        <v>433</v>
      </c>
      <c r="D198" s="4" t="s">
        <v>74</v>
      </c>
      <c r="E198" s="4" t="s">
        <v>75</v>
      </c>
      <c r="F198" s="4" t="s">
        <v>76</v>
      </c>
      <c r="G198" s="4" t="s">
        <v>165</v>
      </c>
      <c r="H198" s="4" t="s">
        <v>78</v>
      </c>
      <c r="I198" s="4" t="s">
        <v>78</v>
      </c>
      <c r="J198" s="4" t="s">
        <v>434</v>
      </c>
      <c r="K198" s="4" t="s">
        <v>80</v>
      </c>
      <c r="L198" s="4" t="s">
        <v>81</v>
      </c>
      <c r="AL198" s="5">
        <v>0.0</v>
      </c>
      <c r="AU198" s="5">
        <v>0.0</v>
      </c>
      <c r="BI198" s="5">
        <v>0.0</v>
      </c>
      <c r="BM198" s="5">
        <v>0.0</v>
      </c>
      <c r="BO198" s="5">
        <v>0.0</v>
      </c>
    </row>
    <row r="199" ht="15.75" customHeight="1">
      <c r="A199" s="4" t="str">
        <f t="shared" si="1"/>
        <v>Liabilities|Portfolio investment, Debt securities, Positions|Papua New Guinea|Half-yearly, semester</v>
      </c>
      <c r="B199" s="4" t="s">
        <v>72</v>
      </c>
      <c r="C199" s="4" t="s">
        <v>435</v>
      </c>
      <c r="D199" s="4" t="s">
        <v>74</v>
      </c>
      <c r="E199" s="4" t="s">
        <v>75</v>
      </c>
      <c r="F199" s="4" t="s">
        <v>76</v>
      </c>
      <c r="G199" s="4" t="s">
        <v>165</v>
      </c>
      <c r="H199" s="4" t="s">
        <v>78</v>
      </c>
      <c r="I199" s="4" t="s">
        <v>78</v>
      </c>
      <c r="J199" s="4" t="s">
        <v>238</v>
      </c>
      <c r="K199" s="4" t="s">
        <v>80</v>
      </c>
      <c r="L199" s="4" t="s">
        <v>81</v>
      </c>
      <c r="AL199" s="5">
        <v>0.0</v>
      </c>
      <c r="BI199" s="5">
        <v>0.0</v>
      </c>
      <c r="BM199" s="5">
        <v>0.0</v>
      </c>
      <c r="BO199" s="5">
        <v>0.0</v>
      </c>
    </row>
    <row r="200" ht="15.75" customHeight="1">
      <c r="A200" s="4" t="str">
        <f t="shared" si="1"/>
        <v>Liabilities|Portfolio investment, Debt securities, Positions|Timor-Leste, Democratic Republic of|Half-yearly, semester</v>
      </c>
      <c r="B200" s="4" t="s">
        <v>72</v>
      </c>
      <c r="C200" s="4" t="s">
        <v>436</v>
      </c>
      <c r="D200" s="4" t="s">
        <v>74</v>
      </c>
      <c r="E200" s="4" t="s">
        <v>75</v>
      </c>
      <c r="F200" s="4" t="s">
        <v>76</v>
      </c>
      <c r="G200" s="4" t="s">
        <v>165</v>
      </c>
      <c r="H200" s="4" t="s">
        <v>78</v>
      </c>
      <c r="I200" s="4" t="s">
        <v>78</v>
      </c>
      <c r="J200" s="4" t="s">
        <v>437</v>
      </c>
      <c r="K200" s="4" t="s">
        <v>80</v>
      </c>
      <c r="L200" s="4" t="s">
        <v>81</v>
      </c>
      <c r="AL200" s="5">
        <v>0.0</v>
      </c>
      <c r="BI200" s="5">
        <v>0.0</v>
      </c>
      <c r="BM200" s="5">
        <v>0.0</v>
      </c>
      <c r="BO200" s="5">
        <v>0.0</v>
      </c>
    </row>
    <row r="201" ht="15.75" customHeight="1">
      <c r="A201" s="4" t="str">
        <f t="shared" si="1"/>
        <v>Liabilities|Portfolio investment, Debt securities, Positions|Mozambique, Republic of|Half-yearly, semester</v>
      </c>
      <c r="B201" s="4" t="s">
        <v>72</v>
      </c>
      <c r="C201" s="4" t="s">
        <v>438</v>
      </c>
      <c r="D201" s="4" t="s">
        <v>74</v>
      </c>
      <c r="E201" s="4" t="s">
        <v>75</v>
      </c>
      <c r="F201" s="4" t="s">
        <v>76</v>
      </c>
      <c r="G201" s="4" t="s">
        <v>165</v>
      </c>
      <c r="H201" s="4" t="s">
        <v>78</v>
      </c>
      <c r="I201" s="4" t="s">
        <v>78</v>
      </c>
      <c r="J201" s="4" t="s">
        <v>439</v>
      </c>
      <c r="K201" s="4" t="s">
        <v>80</v>
      </c>
      <c r="L201" s="4" t="s">
        <v>81</v>
      </c>
      <c r="AL201" s="5">
        <v>0.0</v>
      </c>
      <c r="BI201" s="5">
        <v>0.0</v>
      </c>
      <c r="BM201" s="5">
        <v>0.0</v>
      </c>
      <c r="BO201" s="5">
        <v>0.0</v>
      </c>
    </row>
    <row r="202" ht="15.75" customHeight="1">
      <c r="A202" s="4" t="str">
        <f t="shared" si="1"/>
        <v>Liabilities|Portfolio investment, Debt securities, Positions|Tonga|Half-yearly, semester</v>
      </c>
      <c r="B202" s="4" t="s">
        <v>72</v>
      </c>
      <c r="C202" s="4" t="s">
        <v>440</v>
      </c>
      <c r="D202" s="4" t="s">
        <v>74</v>
      </c>
      <c r="E202" s="4" t="s">
        <v>75</v>
      </c>
      <c r="F202" s="4" t="s">
        <v>76</v>
      </c>
      <c r="G202" s="4" t="s">
        <v>165</v>
      </c>
      <c r="H202" s="4" t="s">
        <v>78</v>
      </c>
      <c r="I202" s="4" t="s">
        <v>78</v>
      </c>
      <c r="J202" s="4" t="s">
        <v>105</v>
      </c>
      <c r="K202" s="4" t="s">
        <v>80</v>
      </c>
      <c r="L202" s="4" t="s">
        <v>81</v>
      </c>
      <c r="AL202" s="5">
        <v>0.0</v>
      </c>
      <c r="BI202" s="5">
        <v>0.0</v>
      </c>
      <c r="BM202" s="5">
        <v>0.0</v>
      </c>
      <c r="BO202" s="5">
        <v>0.0</v>
      </c>
    </row>
    <row r="203" ht="15.75" customHeight="1">
      <c r="A203" s="4" t="str">
        <f t="shared" si="1"/>
        <v>Liabilities|Portfolio investment, Debt securities, Positions|Bulgaria|Half-yearly, semester</v>
      </c>
      <c r="B203" s="4" t="s">
        <v>72</v>
      </c>
      <c r="C203" s="4" t="s">
        <v>441</v>
      </c>
      <c r="D203" s="4" t="s">
        <v>74</v>
      </c>
      <c r="E203" s="4" t="s">
        <v>75</v>
      </c>
      <c r="F203" s="4" t="s">
        <v>76</v>
      </c>
      <c r="G203" s="4" t="s">
        <v>165</v>
      </c>
      <c r="H203" s="4" t="s">
        <v>78</v>
      </c>
      <c r="I203" s="4" t="s">
        <v>78</v>
      </c>
      <c r="J203" s="4" t="s">
        <v>103</v>
      </c>
      <c r="K203" s="4" t="s">
        <v>80</v>
      </c>
      <c r="L203" s="4" t="s">
        <v>81</v>
      </c>
      <c r="AL203" s="5">
        <v>0.0</v>
      </c>
      <c r="BI203" s="5">
        <v>0.0</v>
      </c>
      <c r="BM203" s="5">
        <v>0.0</v>
      </c>
      <c r="BO203" s="5">
        <v>0.0</v>
      </c>
    </row>
    <row r="204" ht="15.75" customHeight="1">
      <c r="A204" s="4" t="str">
        <f t="shared" si="1"/>
        <v>Liabilities|Portfolio investment, Debt securities, Positions|Lithuania, Republic of|Half-yearly, semester</v>
      </c>
      <c r="B204" s="4" t="s">
        <v>72</v>
      </c>
      <c r="C204" s="4" t="s">
        <v>442</v>
      </c>
      <c r="D204" s="4" t="s">
        <v>74</v>
      </c>
      <c r="E204" s="4" t="s">
        <v>75</v>
      </c>
      <c r="F204" s="4" t="s">
        <v>76</v>
      </c>
      <c r="G204" s="4" t="s">
        <v>165</v>
      </c>
      <c r="H204" s="4" t="s">
        <v>78</v>
      </c>
      <c r="I204" s="4" t="s">
        <v>78</v>
      </c>
      <c r="J204" s="4" t="s">
        <v>443</v>
      </c>
      <c r="K204" s="4" t="s">
        <v>80</v>
      </c>
      <c r="L204" s="4" t="s">
        <v>81</v>
      </c>
      <c r="AL204" s="5">
        <v>0.0</v>
      </c>
      <c r="BI204" s="5">
        <v>0.0</v>
      </c>
      <c r="BM204" s="5">
        <v>0.0</v>
      </c>
      <c r="BO204" s="5">
        <v>0.0</v>
      </c>
    </row>
    <row r="205" ht="15.75" customHeight="1">
      <c r="A205" s="4" t="str">
        <f t="shared" si="1"/>
        <v>Liabilities|Portfolio investment, Debt securities, Positions|St. Helena|Half-yearly, semester</v>
      </c>
      <c r="B205" s="4" t="s">
        <v>72</v>
      </c>
      <c r="C205" s="4" t="s">
        <v>444</v>
      </c>
      <c r="D205" s="4" t="s">
        <v>74</v>
      </c>
      <c r="E205" s="4" t="s">
        <v>75</v>
      </c>
      <c r="F205" s="4" t="s">
        <v>76</v>
      </c>
      <c r="G205" s="4" t="s">
        <v>165</v>
      </c>
      <c r="H205" s="4" t="s">
        <v>78</v>
      </c>
      <c r="I205" s="4" t="s">
        <v>78</v>
      </c>
      <c r="J205" s="4" t="s">
        <v>445</v>
      </c>
      <c r="K205" s="4" t="s">
        <v>80</v>
      </c>
      <c r="L205" s="4" t="s">
        <v>81</v>
      </c>
      <c r="AL205" s="5">
        <v>0.0</v>
      </c>
      <c r="BI205" s="5">
        <v>0.0</v>
      </c>
      <c r="BM205" s="5">
        <v>0.0</v>
      </c>
      <c r="BO205" s="5">
        <v>0.0</v>
      </c>
    </row>
    <row r="206" ht="15.75" customHeight="1">
      <c r="A206" s="4" t="str">
        <f t="shared" si="1"/>
        <v>Liabilities|Portfolio investment, Debt securities, Positions|Cuba|Half-yearly, semester</v>
      </c>
      <c r="B206" s="4" t="s">
        <v>72</v>
      </c>
      <c r="C206" s="4" t="s">
        <v>446</v>
      </c>
      <c r="D206" s="4" t="s">
        <v>74</v>
      </c>
      <c r="E206" s="4" t="s">
        <v>75</v>
      </c>
      <c r="F206" s="4" t="s">
        <v>76</v>
      </c>
      <c r="G206" s="4" t="s">
        <v>165</v>
      </c>
      <c r="H206" s="4" t="s">
        <v>78</v>
      </c>
      <c r="I206" s="4" t="s">
        <v>78</v>
      </c>
      <c r="J206" s="4" t="s">
        <v>447</v>
      </c>
      <c r="K206" s="4" t="s">
        <v>80</v>
      </c>
      <c r="L206" s="4" t="s">
        <v>81</v>
      </c>
      <c r="AL206" s="5">
        <v>0.0</v>
      </c>
      <c r="BI206" s="5">
        <v>0.0</v>
      </c>
      <c r="BM206" s="5">
        <v>0.0</v>
      </c>
      <c r="BO206" s="5">
        <v>0.0</v>
      </c>
    </row>
    <row r="207" ht="15.75" customHeight="1">
      <c r="A207" s="4" t="str">
        <f t="shared" si="1"/>
        <v>Liabilities|Portfolio investment, Debt securities, Positions|Madagascar, Republic of|Half-yearly, semester</v>
      </c>
      <c r="B207" s="4" t="s">
        <v>72</v>
      </c>
      <c r="C207" s="4" t="s">
        <v>448</v>
      </c>
      <c r="D207" s="4" t="s">
        <v>74</v>
      </c>
      <c r="E207" s="4" t="s">
        <v>75</v>
      </c>
      <c r="F207" s="4" t="s">
        <v>76</v>
      </c>
      <c r="G207" s="4" t="s">
        <v>165</v>
      </c>
      <c r="H207" s="4" t="s">
        <v>78</v>
      </c>
      <c r="I207" s="4" t="s">
        <v>78</v>
      </c>
      <c r="J207" s="4" t="s">
        <v>449</v>
      </c>
      <c r="K207" s="4" t="s">
        <v>80</v>
      </c>
      <c r="L207" s="4" t="s">
        <v>81</v>
      </c>
      <c r="AL207" s="5">
        <v>0.0</v>
      </c>
      <c r="BI207" s="5">
        <v>0.0</v>
      </c>
      <c r="BM207" s="5">
        <v>0.0</v>
      </c>
      <c r="BO207" s="5">
        <v>0.0</v>
      </c>
    </row>
    <row r="208" ht="15.75" customHeight="1">
      <c r="A208" s="4" t="str">
        <f t="shared" si="1"/>
        <v>Liabilities|Portfolio investment, Debt securities, Positions|Ukraine|Half-yearly, semester</v>
      </c>
      <c r="B208" s="4" t="s">
        <v>72</v>
      </c>
      <c r="C208" s="4" t="s">
        <v>450</v>
      </c>
      <c r="D208" s="4" t="s">
        <v>74</v>
      </c>
      <c r="E208" s="4" t="s">
        <v>75</v>
      </c>
      <c r="F208" s="4" t="s">
        <v>76</v>
      </c>
      <c r="G208" s="4" t="s">
        <v>165</v>
      </c>
      <c r="H208" s="4" t="s">
        <v>78</v>
      </c>
      <c r="I208" s="4" t="s">
        <v>78</v>
      </c>
      <c r="J208" s="4" t="s">
        <v>147</v>
      </c>
      <c r="K208" s="4" t="s">
        <v>80</v>
      </c>
      <c r="L208" s="4" t="s">
        <v>81</v>
      </c>
      <c r="AL208" s="5">
        <v>0.0</v>
      </c>
      <c r="BI208" s="5">
        <v>0.0</v>
      </c>
      <c r="BM208" s="5">
        <v>0.0</v>
      </c>
      <c r="BO208" s="5">
        <v>0.0</v>
      </c>
    </row>
    <row r="209" ht="15.75" customHeight="1">
      <c r="A209" s="4" t="str">
        <f t="shared" si="1"/>
        <v>Liabilities|Portfolio investment, Debt securities, Positions|Faroe Islands|Half-yearly, semester</v>
      </c>
      <c r="B209" s="4" t="s">
        <v>72</v>
      </c>
      <c r="C209" s="4" t="s">
        <v>451</v>
      </c>
      <c r="D209" s="4" t="s">
        <v>74</v>
      </c>
      <c r="E209" s="4" t="s">
        <v>75</v>
      </c>
      <c r="F209" s="4" t="s">
        <v>76</v>
      </c>
      <c r="G209" s="4" t="s">
        <v>165</v>
      </c>
      <c r="H209" s="4" t="s">
        <v>78</v>
      </c>
      <c r="I209" s="4" t="s">
        <v>78</v>
      </c>
      <c r="J209" s="4" t="s">
        <v>452</v>
      </c>
      <c r="K209" s="4" t="s">
        <v>80</v>
      </c>
      <c r="L209" s="4" t="s">
        <v>81</v>
      </c>
      <c r="AL209" s="5">
        <v>0.0</v>
      </c>
      <c r="BI209" s="5">
        <v>0.0</v>
      </c>
      <c r="BM209" s="5">
        <v>0.0</v>
      </c>
      <c r="BO209" s="5">
        <v>0.0</v>
      </c>
    </row>
    <row r="210" ht="15.75" customHeight="1">
      <c r="A210" s="4" t="str">
        <f t="shared" si="1"/>
        <v>Liabilities|Portfolio investment, Debt securities, Positions|Chad|Half-yearly, semester</v>
      </c>
      <c r="B210" s="4" t="s">
        <v>72</v>
      </c>
      <c r="C210" s="4" t="s">
        <v>453</v>
      </c>
      <c r="D210" s="4" t="s">
        <v>74</v>
      </c>
      <c r="E210" s="4" t="s">
        <v>75</v>
      </c>
      <c r="F210" s="4" t="s">
        <v>76</v>
      </c>
      <c r="G210" s="4" t="s">
        <v>165</v>
      </c>
      <c r="H210" s="4" t="s">
        <v>78</v>
      </c>
      <c r="I210" s="4" t="s">
        <v>78</v>
      </c>
      <c r="J210" s="4" t="s">
        <v>454</v>
      </c>
      <c r="K210" s="4" t="s">
        <v>80</v>
      </c>
      <c r="L210" s="4" t="s">
        <v>81</v>
      </c>
      <c r="AL210" s="5">
        <v>0.0</v>
      </c>
      <c r="BI210" s="5">
        <v>0.0</v>
      </c>
      <c r="BM210" s="5">
        <v>0.0</v>
      </c>
      <c r="BO210" s="5">
        <v>0.0</v>
      </c>
    </row>
    <row r="211" ht="15.75" customHeight="1">
      <c r="A211" s="4" t="str">
        <f t="shared" si="1"/>
        <v>Liabilities|Portfolio investment, Debt securities, Positions|Tokelau|Half-yearly, semester</v>
      </c>
      <c r="B211" s="4" t="s">
        <v>72</v>
      </c>
      <c r="C211" s="4" t="s">
        <v>455</v>
      </c>
      <c r="D211" s="4" t="s">
        <v>74</v>
      </c>
      <c r="E211" s="4" t="s">
        <v>75</v>
      </c>
      <c r="F211" s="4" t="s">
        <v>76</v>
      </c>
      <c r="G211" s="4" t="s">
        <v>165</v>
      </c>
      <c r="H211" s="4" t="s">
        <v>78</v>
      </c>
      <c r="I211" s="4" t="s">
        <v>78</v>
      </c>
      <c r="J211" s="4" t="s">
        <v>456</v>
      </c>
      <c r="K211" s="4" t="s">
        <v>80</v>
      </c>
      <c r="L211" s="4" t="s">
        <v>81</v>
      </c>
      <c r="AL211" s="5">
        <v>0.0</v>
      </c>
      <c r="BI211" s="5">
        <v>0.0</v>
      </c>
      <c r="BM211" s="5">
        <v>0.0</v>
      </c>
      <c r="BO211" s="5">
        <v>0.0</v>
      </c>
    </row>
    <row r="212" ht="15.75" customHeight="1">
      <c r="A212" s="4" t="str">
        <f t="shared" si="1"/>
        <v>Liabilities|Portfolio investment, Debt securities, Positions|Lesotho, Kingdom of|Half-yearly, semester</v>
      </c>
      <c r="B212" s="4" t="s">
        <v>72</v>
      </c>
      <c r="C212" s="4" t="s">
        <v>457</v>
      </c>
      <c r="D212" s="4" t="s">
        <v>74</v>
      </c>
      <c r="E212" s="4" t="s">
        <v>75</v>
      </c>
      <c r="F212" s="4" t="s">
        <v>76</v>
      </c>
      <c r="G212" s="4" t="s">
        <v>165</v>
      </c>
      <c r="H212" s="4" t="s">
        <v>78</v>
      </c>
      <c r="I212" s="4" t="s">
        <v>78</v>
      </c>
      <c r="J212" s="4" t="s">
        <v>458</v>
      </c>
      <c r="K212" s="4" t="s">
        <v>80</v>
      </c>
      <c r="L212" s="4" t="s">
        <v>81</v>
      </c>
      <c r="AL212" s="5">
        <v>0.0</v>
      </c>
      <c r="BI212" s="5">
        <v>0.0</v>
      </c>
      <c r="BM212" s="5">
        <v>0.0</v>
      </c>
      <c r="BO212" s="5">
        <v>0.0</v>
      </c>
    </row>
    <row r="213" ht="15.75" customHeight="1">
      <c r="A213" s="4" t="str">
        <f t="shared" si="1"/>
        <v>Liabilities|Portfolio investment, Debt securities, Positions|Niger|Half-yearly, semester</v>
      </c>
      <c r="B213" s="4" t="s">
        <v>72</v>
      </c>
      <c r="C213" s="4" t="s">
        <v>459</v>
      </c>
      <c r="D213" s="4" t="s">
        <v>74</v>
      </c>
      <c r="E213" s="4" t="s">
        <v>75</v>
      </c>
      <c r="F213" s="4" t="s">
        <v>76</v>
      </c>
      <c r="G213" s="4" t="s">
        <v>165</v>
      </c>
      <c r="H213" s="4" t="s">
        <v>78</v>
      </c>
      <c r="I213" s="4" t="s">
        <v>78</v>
      </c>
      <c r="J213" s="4" t="s">
        <v>460</v>
      </c>
      <c r="K213" s="4" t="s">
        <v>80</v>
      </c>
      <c r="L213" s="4" t="s">
        <v>81</v>
      </c>
      <c r="AL213" s="5">
        <v>0.0</v>
      </c>
      <c r="BI213" s="5">
        <v>0.0</v>
      </c>
      <c r="BM213" s="5">
        <v>0.0</v>
      </c>
      <c r="BO213" s="5">
        <v>0.0</v>
      </c>
    </row>
    <row r="214" ht="15.75" customHeight="1">
      <c r="A214" s="4" t="str">
        <f t="shared" si="1"/>
        <v>Liabilities|Portfolio investment, Debt securities, Positions|French Guiana|Half-yearly, semester</v>
      </c>
      <c r="B214" s="4" t="s">
        <v>72</v>
      </c>
      <c r="C214" s="4" t="s">
        <v>461</v>
      </c>
      <c r="D214" s="4" t="s">
        <v>74</v>
      </c>
      <c r="E214" s="4" t="s">
        <v>75</v>
      </c>
      <c r="F214" s="4" t="s">
        <v>76</v>
      </c>
      <c r="G214" s="4" t="s">
        <v>165</v>
      </c>
      <c r="H214" s="4" t="s">
        <v>78</v>
      </c>
      <c r="I214" s="4" t="s">
        <v>78</v>
      </c>
      <c r="J214" s="4" t="s">
        <v>462</v>
      </c>
      <c r="K214" s="4" t="s">
        <v>80</v>
      </c>
      <c r="L214" s="4" t="s">
        <v>81</v>
      </c>
      <c r="AL214" s="5">
        <v>0.0</v>
      </c>
      <c r="BI214" s="5">
        <v>0.0</v>
      </c>
      <c r="BM214" s="5">
        <v>0.0</v>
      </c>
      <c r="BO214" s="5">
        <v>0.0</v>
      </c>
    </row>
    <row r="215" ht="15.75" customHeight="1">
      <c r="A215" s="4" t="str">
        <f t="shared" si="1"/>
        <v>Liabilities|Portfolio investment, Debt securities, Positions|Eritrea, The State of|Half-yearly, semester</v>
      </c>
      <c r="B215" s="4" t="s">
        <v>72</v>
      </c>
      <c r="C215" s="4" t="s">
        <v>463</v>
      </c>
      <c r="D215" s="4" t="s">
        <v>74</v>
      </c>
      <c r="E215" s="4" t="s">
        <v>75</v>
      </c>
      <c r="F215" s="4" t="s">
        <v>76</v>
      </c>
      <c r="G215" s="4" t="s">
        <v>165</v>
      </c>
      <c r="H215" s="4" t="s">
        <v>78</v>
      </c>
      <c r="I215" s="4" t="s">
        <v>78</v>
      </c>
      <c r="J215" s="4" t="s">
        <v>464</v>
      </c>
      <c r="K215" s="4" t="s">
        <v>80</v>
      </c>
      <c r="L215" s="4" t="s">
        <v>81</v>
      </c>
      <c r="AL215" s="5">
        <v>0.0</v>
      </c>
      <c r="BI215" s="5">
        <v>0.0</v>
      </c>
      <c r="BM215" s="5">
        <v>0.0</v>
      </c>
      <c r="BO215" s="5">
        <v>0.0</v>
      </c>
    </row>
    <row r="216" ht="15.75" customHeight="1">
      <c r="A216" s="4" t="str">
        <f t="shared" si="1"/>
        <v>Liabilities|Portfolio investment, Debt securities, Positions|Congo, Democratic Republic of the|Half-yearly, semester</v>
      </c>
      <c r="B216" s="4" t="s">
        <v>72</v>
      </c>
      <c r="C216" s="4" t="s">
        <v>465</v>
      </c>
      <c r="D216" s="4" t="s">
        <v>74</v>
      </c>
      <c r="E216" s="4" t="s">
        <v>75</v>
      </c>
      <c r="F216" s="4" t="s">
        <v>76</v>
      </c>
      <c r="G216" s="4" t="s">
        <v>165</v>
      </c>
      <c r="H216" s="4" t="s">
        <v>78</v>
      </c>
      <c r="I216" s="4" t="s">
        <v>78</v>
      </c>
      <c r="J216" s="4" t="s">
        <v>466</v>
      </c>
      <c r="K216" s="4" t="s">
        <v>80</v>
      </c>
      <c r="L216" s="4" t="s">
        <v>81</v>
      </c>
      <c r="AL216" s="5">
        <v>0.0</v>
      </c>
      <c r="BI216" s="5">
        <v>0.0</v>
      </c>
      <c r="BM216" s="5">
        <v>0.0</v>
      </c>
      <c r="BO216" s="5">
        <v>0.0</v>
      </c>
    </row>
    <row r="217" ht="15.75" customHeight="1">
      <c r="A217" s="4" t="str">
        <f t="shared" si="1"/>
        <v>Liabilities|Portfolio investment, Debt securities, Positions|Czech Republic|Half-yearly, semester</v>
      </c>
      <c r="B217" s="4" t="s">
        <v>72</v>
      </c>
      <c r="C217" s="4" t="s">
        <v>467</v>
      </c>
      <c r="D217" s="4" t="s">
        <v>74</v>
      </c>
      <c r="E217" s="4" t="s">
        <v>75</v>
      </c>
      <c r="F217" s="4" t="s">
        <v>76</v>
      </c>
      <c r="G217" s="4" t="s">
        <v>165</v>
      </c>
      <c r="H217" s="4" t="s">
        <v>78</v>
      </c>
      <c r="I217" s="4" t="s">
        <v>78</v>
      </c>
      <c r="J217" s="4" t="s">
        <v>468</v>
      </c>
      <c r="K217" s="4" t="s">
        <v>80</v>
      </c>
      <c r="L217" s="4" t="s">
        <v>81</v>
      </c>
      <c r="AL217" s="5">
        <v>0.0</v>
      </c>
      <c r="BI217" s="5">
        <v>0.0</v>
      </c>
      <c r="BM217" s="5">
        <v>0.0</v>
      </c>
      <c r="BO217" s="5">
        <v>0.0</v>
      </c>
    </row>
    <row r="218" ht="15.75" customHeight="1">
      <c r="A218" s="4" t="str">
        <f t="shared" si="1"/>
        <v>Liabilities|Portfolio investment, Debt securities, Positions|Belarus, Republic of|Half-yearly, semester</v>
      </c>
      <c r="B218" s="4" t="s">
        <v>72</v>
      </c>
      <c r="C218" s="4" t="s">
        <v>469</v>
      </c>
      <c r="D218" s="4" t="s">
        <v>74</v>
      </c>
      <c r="E218" s="4" t="s">
        <v>75</v>
      </c>
      <c r="F218" s="4" t="s">
        <v>76</v>
      </c>
      <c r="G218" s="4" t="s">
        <v>165</v>
      </c>
      <c r="H218" s="4" t="s">
        <v>78</v>
      </c>
      <c r="I218" s="4" t="s">
        <v>78</v>
      </c>
      <c r="J218" s="4" t="s">
        <v>470</v>
      </c>
      <c r="K218" s="4" t="s">
        <v>80</v>
      </c>
      <c r="L218" s="4" t="s">
        <v>81</v>
      </c>
      <c r="AL218" s="5">
        <v>0.0</v>
      </c>
      <c r="BI218" s="5">
        <v>0.0</v>
      </c>
      <c r="BM218" s="5">
        <v>0.0</v>
      </c>
      <c r="BO218" s="5">
        <v>0.0</v>
      </c>
    </row>
    <row r="219" ht="15.75" customHeight="1">
      <c r="A219" s="4" t="str">
        <f t="shared" si="1"/>
        <v>Liabilities|Portfolio investment, Debt securities, Positions|Montenegro|Half-yearly, semester</v>
      </c>
      <c r="B219" s="4" t="s">
        <v>72</v>
      </c>
      <c r="C219" s="4" t="s">
        <v>471</v>
      </c>
      <c r="D219" s="4" t="s">
        <v>74</v>
      </c>
      <c r="E219" s="4" t="s">
        <v>75</v>
      </c>
      <c r="F219" s="4" t="s">
        <v>76</v>
      </c>
      <c r="G219" s="4" t="s">
        <v>165</v>
      </c>
      <c r="H219" s="4" t="s">
        <v>78</v>
      </c>
      <c r="I219" s="4" t="s">
        <v>78</v>
      </c>
      <c r="J219" s="4" t="s">
        <v>472</v>
      </c>
      <c r="K219" s="4" t="s">
        <v>80</v>
      </c>
      <c r="L219" s="4" t="s">
        <v>81</v>
      </c>
      <c r="AL219" s="5">
        <v>0.0</v>
      </c>
      <c r="BI219" s="5">
        <v>0.0</v>
      </c>
      <c r="BM219" s="5">
        <v>0.0</v>
      </c>
      <c r="BO219" s="5">
        <v>0.0</v>
      </c>
    </row>
    <row r="220" ht="15.75" customHeight="1">
      <c r="A220" s="4" t="str">
        <f t="shared" si="1"/>
        <v>Liabilities|Portfolio investment, Debt securities, Positions|Seychelles|Half-yearly, semester</v>
      </c>
      <c r="B220" s="4" t="s">
        <v>72</v>
      </c>
      <c r="C220" s="4" t="s">
        <v>473</v>
      </c>
      <c r="D220" s="4" t="s">
        <v>74</v>
      </c>
      <c r="E220" s="4" t="s">
        <v>75</v>
      </c>
      <c r="F220" s="4" t="s">
        <v>76</v>
      </c>
      <c r="G220" s="4" t="s">
        <v>165</v>
      </c>
      <c r="H220" s="4" t="s">
        <v>78</v>
      </c>
      <c r="I220" s="4" t="s">
        <v>78</v>
      </c>
      <c r="J220" s="4" t="s">
        <v>474</v>
      </c>
      <c r="K220" s="4" t="s">
        <v>80</v>
      </c>
      <c r="L220" s="4" t="s">
        <v>81</v>
      </c>
      <c r="AL220" s="5">
        <v>0.0</v>
      </c>
      <c r="BI220" s="5">
        <v>0.0</v>
      </c>
      <c r="BM220" s="5">
        <v>0.0</v>
      </c>
      <c r="BO220" s="5">
        <v>0.0</v>
      </c>
    </row>
    <row r="221" ht="15.75" customHeight="1">
      <c r="A221" s="4" t="str">
        <f t="shared" si="1"/>
        <v>Liabilities|Portfolio investment, Debt securities, Positions|Rwanda|Half-yearly, semester</v>
      </c>
      <c r="B221" s="4" t="s">
        <v>72</v>
      </c>
      <c r="C221" s="4" t="s">
        <v>475</v>
      </c>
      <c r="D221" s="4" t="s">
        <v>74</v>
      </c>
      <c r="E221" s="4" t="s">
        <v>75</v>
      </c>
      <c r="F221" s="4" t="s">
        <v>76</v>
      </c>
      <c r="G221" s="4" t="s">
        <v>165</v>
      </c>
      <c r="H221" s="4" t="s">
        <v>78</v>
      </c>
      <c r="I221" s="4" t="s">
        <v>78</v>
      </c>
      <c r="J221" s="4" t="s">
        <v>476</v>
      </c>
      <c r="K221" s="4" t="s">
        <v>80</v>
      </c>
      <c r="L221" s="4" t="s">
        <v>81</v>
      </c>
      <c r="AL221" s="5">
        <v>0.0</v>
      </c>
      <c r="BI221" s="5">
        <v>0.0</v>
      </c>
      <c r="BM221" s="5">
        <v>0.0</v>
      </c>
      <c r="BO221" s="5">
        <v>0.0</v>
      </c>
    </row>
    <row r="222" ht="15.75" customHeight="1">
      <c r="A222" s="4" t="str">
        <f t="shared" si="1"/>
        <v>Liabilities|Portfolio investment, Debt securities, Positions|Tuvalu|Half-yearly, semester</v>
      </c>
      <c r="B222" s="4" t="s">
        <v>72</v>
      </c>
      <c r="C222" s="4" t="s">
        <v>477</v>
      </c>
      <c r="D222" s="4" t="s">
        <v>74</v>
      </c>
      <c r="E222" s="4" t="s">
        <v>75</v>
      </c>
      <c r="F222" s="4" t="s">
        <v>76</v>
      </c>
      <c r="G222" s="4" t="s">
        <v>165</v>
      </c>
      <c r="H222" s="4" t="s">
        <v>78</v>
      </c>
      <c r="I222" s="4" t="s">
        <v>78</v>
      </c>
      <c r="J222" s="4" t="s">
        <v>478</v>
      </c>
      <c r="K222" s="4" t="s">
        <v>80</v>
      </c>
      <c r="L222" s="4" t="s">
        <v>81</v>
      </c>
      <c r="AL222" s="5">
        <v>0.0</v>
      </c>
      <c r="BI222" s="5">
        <v>0.0</v>
      </c>
      <c r="BM222" s="5">
        <v>0.0</v>
      </c>
      <c r="BO222" s="5">
        <v>0.0</v>
      </c>
    </row>
    <row r="223" ht="15.75" customHeight="1">
      <c r="A223" s="4" t="str">
        <f t="shared" si="1"/>
        <v>Liabilities|Portfolio investment, Debt securities, Positions|Tanzania, United Republic of|Half-yearly, semester</v>
      </c>
      <c r="B223" s="4" t="s">
        <v>72</v>
      </c>
      <c r="C223" s="4" t="s">
        <v>479</v>
      </c>
      <c r="D223" s="4" t="s">
        <v>74</v>
      </c>
      <c r="E223" s="4" t="s">
        <v>75</v>
      </c>
      <c r="F223" s="4" t="s">
        <v>76</v>
      </c>
      <c r="G223" s="4" t="s">
        <v>165</v>
      </c>
      <c r="H223" s="4" t="s">
        <v>78</v>
      </c>
      <c r="I223" s="4" t="s">
        <v>78</v>
      </c>
      <c r="J223" s="4" t="s">
        <v>480</v>
      </c>
      <c r="K223" s="4" t="s">
        <v>80</v>
      </c>
      <c r="L223" s="4" t="s">
        <v>81</v>
      </c>
      <c r="AL223" s="5">
        <v>0.0</v>
      </c>
      <c r="BI223" s="5">
        <v>0.0</v>
      </c>
      <c r="BM223" s="5">
        <v>0.0</v>
      </c>
      <c r="BO223" s="5">
        <v>0.0</v>
      </c>
    </row>
    <row r="224" ht="15.75" customHeight="1">
      <c r="A224" s="4" t="str">
        <f t="shared" si="1"/>
        <v>Liabilities|Portfolio investment, Debt securities, Positions|Albania|Half-yearly, semester</v>
      </c>
      <c r="B224" s="4" t="s">
        <v>72</v>
      </c>
      <c r="C224" s="4" t="s">
        <v>481</v>
      </c>
      <c r="D224" s="4" t="s">
        <v>74</v>
      </c>
      <c r="E224" s="4" t="s">
        <v>75</v>
      </c>
      <c r="F224" s="4" t="s">
        <v>76</v>
      </c>
      <c r="G224" s="4" t="s">
        <v>165</v>
      </c>
      <c r="H224" s="4" t="s">
        <v>78</v>
      </c>
      <c r="I224" s="4" t="s">
        <v>78</v>
      </c>
      <c r="J224" s="4" t="s">
        <v>482</v>
      </c>
      <c r="K224" s="4" t="s">
        <v>80</v>
      </c>
      <c r="L224" s="4" t="s">
        <v>81</v>
      </c>
      <c r="AL224" s="5">
        <v>0.0</v>
      </c>
      <c r="BI224" s="5">
        <v>0.0</v>
      </c>
      <c r="BM224" s="5">
        <v>0.0</v>
      </c>
      <c r="BO224" s="5">
        <v>0.0</v>
      </c>
    </row>
    <row r="225" ht="15.75" customHeight="1">
      <c r="A225" s="4" t="str">
        <f t="shared" si="1"/>
        <v>Liabilities|Portfolio investment, Debt securities, Positions|Côte d'Ivoire|Half-yearly, semester</v>
      </c>
      <c r="B225" s="4" t="s">
        <v>72</v>
      </c>
      <c r="C225" s="4" t="s">
        <v>483</v>
      </c>
      <c r="D225" s="4" t="s">
        <v>74</v>
      </c>
      <c r="E225" s="4" t="s">
        <v>75</v>
      </c>
      <c r="F225" s="4" t="s">
        <v>76</v>
      </c>
      <c r="G225" s="4" t="s">
        <v>165</v>
      </c>
      <c r="H225" s="4" t="s">
        <v>78</v>
      </c>
      <c r="I225" s="4" t="s">
        <v>78</v>
      </c>
      <c r="J225" s="4" t="s">
        <v>484</v>
      </c>
      <c r="K225" s="4" t="s">
        <v>80</v>
      </c>
      <c r="L225" s="4" t="s">
        <v>81</v>
      </c>
      <c r="AL225" s="5">
        <v>0.0</v>
      </c>
      <c r="BI225" s="5">
        <v>0.0</v>
      </c>
      <c r="BM225" s="5">
        <v>0.0</v>
      </c>
      <c r="BO225" s="5">
        <v>0.0</v>
      </c>
    </row>
    <row r="226" ht="15.75" customHeight="1">
      <c r="A226" s="4" t="str">
        <f t="shared" si="1"/>
        <v>Liabilities|Portfolio investment, Debt securities, Positions|Tunisia|Half-yearly, semester</v>
      </c>
      <c r="B226" s="4" t="s">
        <v>72</v>
      </c>
      <c r="C226" s="4" t="s">
        <v>485</v>
      </c>
      <c r="D226" s="4" t="s">
        <v>74</v>
      </c>
      <c r="E226" s="4" t="s">
        <v>75</v>
      </c>
      <c r="F226" s="4" t="s">
        <v>76</v>
      </c>
      <c r="G226" s="4" t="s">
        <v>165</v>
      </c>
      <c r="H226" s="4" t="s">
        <v>78</v>
      </c>
      <c r="I226" s="4" t="s">
        <v>78</v>
      </c>
      <c r="J226" s="4" t="s">
        <v>248</v>
      </c>
      <c r="K226" s="4" t="s">
        <v>80</v>
      </c>
      <c r="L226" s="4" t="s">
        <v>81</v>
      </c>
      <c r="AL226" s="5">
        <v>0.0</v>
      </c>
      <c r="BI226" s="5">
        <v>0.0</v>
      </c>
      <c r="BM226" s="5">
        <v>0.0</v>
      </c>
      <c r="BO226" s="5">
        <v>0.0</v>
      </c>
    </row>
    <row r="227" ht="15.75" customHeight="1">
      <c r="A227" s="4" t="str">
        <f t="shared" si="1"/>
        <v>Liabilities|Portfolio investment, Debt securities, Positions|Dominica|Half-yearly, semester</v>
      </c>
      <c r="B227" s="4" t="s">
        <v>72</v>
      </c>
      <c r="C227" s="4" t="s">
        <v>486</v>
      </c>
      <c r="D227" s="4" t="s">
        <v>74</v>
      </c>
      <c r="E227" s="4" t="s">
        <v>75</v>
      </c>
      <c r="F227" s="4" t="s">
        <v>76</v>
      </c>
      <c r="G227" s="4" t="s">
        <v>165</v>
      </c>
      <c r="H227" s="4" t="s">
        <v>78</v>
      </c>
      <c r="I227" s="4" t="s">
        <v>78</v>
      </c>
      <c r="J227" s="4" t="s">
        <v>487</v>
      </c>
      <c r="K227" s="4" t="s">
        <v>80</v>
      </c>
      <c r="L227" s="4" t="s">
        <v>81</v>
      </c>
      <c r="AL227" s="5">
        <v>0.0</v>
      </c>
      <c r="BI227" s="5">
        <v>0.0</v>
      </c>
      <c r="BM227" s="5">
        <v>0.0</v>
      </c>
      <c r="BO227" s="5">
        <v>0.0</v>
      </c>
    </row>
    <row r="228" ht="15.75" customHeight="1">
      <c r="A228" s="4" t="str">
        <f t="shared" si="1"/>
        <v>Liabilities|Portfolio investment, Debt securities, Positions|Niue|Half-yearly, semester</v>
      </c>
      <c r="B228" s="4" t="s">
        <v>72</v>
      </c>
      <c r="C228" s="4" t="s">
        <v>488</v>
      </c>
      <c r="D228" s="4" t="s">
        <v>74</v>
      </c>
      <c r="E228" s="4" t="s">
        <v>75</v>
      </c>
      <c r="F228" s="4" t="s">
        <v>76</v>
      </c>
      <c r="G228" s="4" t="s">
        <v>165</v>
      </c>
      <c r="H228" s="4" t="s">
        <v>78</v>
      </c>
      <c r="I228" s="4" t="s">
        <v>78</v>
      </c>
      <c r="J228" s="4" t="s">
        <v>115</v>
      </c>
      <c r="K228" s="4" t="s">
        <v>80</v>
      </c>
      <c r="L228" s="4" t="s">
        <v>81</v>
      </c>
      <c r="AL228" s="5">
        <v>0.0</v>
      </c>
      <c r="BI228" s="5">
        <v>0.0</v>
      </c>
      <c r="BM228" s="5">
        <v>0.0</v>
      </c>
      <c r="BO228" s="5">
        <v>0.0</v>
      </c>
    </row>
    <row r="229" ht="15.75" customHeight="1">
      <c r="A229" s="4" t="str">
        <f t="shared" si="1"/>
        <v>Liabilities|Portfolio investment, Debt securities, Positions|Slovenia, Republic of|Half-yearly, semester</v>
      </c>
      <c r="B229" s="4" t="s">
        <v>72</v>
      </c>
      <c r="C229" s="4" t="s">
        <v>489</v>
      </c>
      <c r="D229" s="4" t="s">
        <v>74</v>
      </c>
      <c r="E229" s="4" t="s">
        <v>75</v>
      </c>
      <c r="F229" s="4" t="s">
        <v>76</v>
      </c>
      <c r="G229" s="4" t="s">
        <v>165</v>
      </c>
      <c r="H229" s="4" t="s">
        <v>78</v>
      </c>
      <c r="I229" s="4" t="s">
        <v>78</v>
      </c>
      <c r="J229" s="4" t="s">
        <v>490</v>
      </c>
      <c r="K229" s="4" t="s">
        <v>80</v>
      </c>
      <c r="L229" s="4" t="s">
        <v>81</v>
      </c>
      <c r="AL229" s="5">
        <v>0.0</v>
      </c>
      <c r="BI229" s="5">
        <v>0.0</v>
      </c>
      <c r="BM229" s="5">
        <v>0.0</v>
      </c>
      <c r="BO229" s="5">
        <v>0.0</v>
      </c>
    </row>
    <row r="230" ht="15.75" customHeight="1">
      <c r="A230" s="4" t="str">
        <f t="shared" si="1"/>
        <v>Liabilities|Portfolio investment, Debt securities, Positions|Sint Maarten, Kingdom of the Netherlands|Half-yearly, semester</v>
      </c>
      <c r="B230" s="4" t="s">
        <v>72</v>
      </c>
      <c r="C230" s="4" t="s">
        <v>491</v>
      </c>
      <c r="D230" s="4" t="s">
        <v>74</v>
      </c>
      <c r="E230" s="4" t="s">
        <v>75</v>
      </c>
      <c r="F230" s="4" t="s">
        <v>76</v>
      </c>
      <c r="G230" s="4" t="s">
        <v>165</v>
      </c>
      <c r="H230" s="4" t="s">
        <v>78</v>
      </c>
      <c r="I230" s="4" t="s">
        <v>78</v>
      </c>
      <c r="J230" s="4" t="s">
        <v>492</v>
      </c>
      <c r="K230" s="4" t="s">
        <v>80</v>
      </c>
      <c r="L230" s="4" t="s">
        <v>81</v>
      </c>
      <c r="BI230" s="5">
        <v>0.0</v>
      </c>
      <c r="BM230" s="5">
        <v>0.0</v>
      </c>
      <c r="BO230" s="5">
        <v>0.0</v>
      </c>
    </row>
    <row r="231" ht="15.75" customHeight="1">
      <c r="A231" s="4" t="str">
        <f t="shared" si="1"/>
        <v>Liabilities|Portfolio investment, Debt securities, Positions|Equatorial Guinea, Republic of|Half-yearly, semester</v>
      </c>
      <c r="B231" s="4" t="s">
        <v>72</v>
      </c>
      <c r="C231" s="4" t="s">
        <v>493</v>
      </c>
      <c r="D231" s="4" t="s">
        <v>74</v>
      </c>
      <c r="E231" s="4" t="s">
        <v>75</v>
      </c>
      <c r="F231" s="4" t="s">
        <v>76</v>
      </c>
      <c r="G231" s="4" t="s">
        <v>165</v>
      </c>
      <c r="H231" s="4" t="s">
        <v>78</v>
      </c>
      <c r="I231" s="4" t="s">
        <v>78</v>
      </c>
      <c r="J231" s="4" t="s">
        <v>494</v>
      </c>
      <c r="K231" s="4" t="s">
        <v>80</v>
      </c>
      <c r="L231" s="4" t="s">
        <v>81</v>
      </c>
      <c r="AL231" s="5">
        <v>0.0</v>
      </c>
      <c r="BI231" s="5">
        <v>0.0</v>
      </c>
      <c r="BM231" s="5">
        <v>0.0</v>
      </c>
      <c r="BO231" s="5">
        <v>0.0</v>
      </c>
    </row>
    <row r="232" ht="15.75" customHeight="1">
      <c r="A232" s="4" t="str">
        <f t="shared" si="1"/>
        <v>Liabilities|Portfolio investment, Debt securities, Positions|Botswana|Half-yearly, semester</v>
      </c>
      <c r="B232" s="4" t="s">
        <v>72</v>
      </c>
      <c r="C232" s="4" t="s">
        <v>495</v>
      </c>
      <c r="D232" s="4" t="s">
        <v>74</v>
      </c>
      <c r="E232" s="4" t="s">
        <v>75</v>
      </c>
      <c r="F232" s="4" t="s">
        <v>76</v>
      </c>
      <c r="G232" s="4" t="s">
        <v>165</v>
      </c>
      <c r="H232" s="4" t="s">
        <v>78</v>
      </c>
      <c r="I232" s="4" t="s">
        <v>78</v>
      </c>
      <c r="J232" s="4" t="s">
        <v>496</v>
      </c>
      <c r="K232" s="4" t="s">
        <v>80</v>
      </c>
      <c r="L232" s="4" t="s">
        <v>81</v>
      </c>
      <c r="AL232" s="5">
        <v>0.0</v>
      </c>
      <c r="BI232" s="5">
        <v>0.0</v>
      </c>
      <c r="BM232" s="5">
        <v>0.0</v>
      </c>
      <c r="BO232" s="5">
        <v>0.0</v>
      </c>
    </row>
    <row r="233" ht="15.75" customHeight="1">
      <c r="A233" s="4" t="str">
        <f t="shared" si="1"/>
        <v>Liabilities|Portfolio investment, Debt securities, Positions|Korea, Democratic People's Republic of|Half-yearly, semester</v>
      </c>
      <c r="B233" s="4" t="s">
        <v>72</v>
      </c>
      <c r="C233" s="4" t="s">
        <v>497</v>
      </c>
      <c r="D233" s="4" t="s">
        <v>74</v>
      </c>
      <c r="E233" s="4" t="s">
        <v>75</v>
      </c>
      <c r="F233" s="4" t="s">
        <v>76</v>
      </c>
      <c r="G233" s="4" t="s">
        <v>165</v>
      </c>
      <c r="H233" s="4" t="s">
        <v>78</v>
      </c>
      <c r="I233" s="4" t="s">
        <v>78</v>
      </c>
      <c r="J233" s="4" t="s">
        <v>498</v>
      </c>
      <c r="K233" s="4" t="s">
        <v>80</v>
      </c>
      <c r="L233" s="4" t="s">
        <v>81</v>
      </c>
      <c r="AL233" s="5">
        <v>0.0</v>
      </c>
      <c r="BI233" s="5">
        <v>0.0</v>
      </c>
      <c r="BM233" s="5">
        <v>0.0</v>
      </c>
      <c r="BO233" s="5">
        <v>0.0</v>
      </c>
    </row>
    <row r="234" ht="15.75" customHeight="1">
      <c r="A234" s="4" t="str">
        <f t="shared" si="1"/>
        <v>Liabilities|Portfolio investment, Debt securities, Positions|Moldova, Republic of|Half-yearly, semester</v>
      </c>
      <c r="B234" s="4" t="s">
        <v>72</v>
      </c>
      <c r="C234" s="4" t="s">
        <v>499</v>
      </c>
      <c r="D234" s="4" t="s">
        <v>74</v>
      </c>
      <c r="E234" s="4" t="s">
        <v>75</v>
      </c>
      <c r="F234" s="4" t="s">
        <v>76</v>
      </c>
      <c r="G234" s="4" t="s">
        <v>165</v>
      </c>
      <c r="H234" s="4" t="s">
        <v>78</v>
      </c>
      <c r="I234" s="4" t="s">
        <v>78</v>
      </c>
      <c r="J234" s="4" t="s">
        <v>500</v>
      </c>
      <c r="K234" s="4" t="s">
        <v>80</v>
      </c>
      <c r="L234" s="4" t="s">
        <v>81</v>
      </c>
      <c r="AL234" s="5">
        <v>0.0</v>
      </c>
      <c r="BI234" s="5">
        <v>0.0</v>
      </c>
      <c r="BM234" s="5">
        <v>0.0</v>
      </c>
      <c r="BO234" s="5">
        <v>0.0</v>
      </c>
    </row>
    <row r="235" ht="15.75" customHeight="1">
      <c r="A235" s="4" t="str">
        <f t="shared" si="1"/>
        <v>Liabilities|Portfolio investment, Debt securities, Positions|Martinique|Half-yearly, semester</v>
      </c>
      <c r="B235" s="4" t="s">
        <v>72</v>
      </c>
      <c r="C235" s="4" t="s">
        <v>501</v>
      </c>
      <c r="D235" s="4" t="s">
        <v>74</v>
      </c>
      <c r="E235" s="4" t="s">
        <v>75</v>
      </c>
      <c r="F235" s="4" t="s">
        <v>76</v>
      </c>
      <c r="G235" s="4" t="s">
        <v>165</v>
      </c>
      <c r="H235" s="4" t="s">
        <v>78</v>
      </c>
      <c r="I235" s="4" t="s">
        <v>78</v>
      </c>
      <c r="J235" s="4" t="s">
        <v>502</v>
      </c>
      <c r="K235" s="4" t="s">
        <v>80</v>
      </c>
      <c r="L235" s="4" t="s">
        <v>81</v>
      </c>
      <c r="AL235" s="5">
        <v>0.0</v>
      </c>
      <c r="BI235" s="5">
        <v>0.0</v>
      </c>
      <c r="BM235" s="5">
        <v>0.0</v>
      </c>
      <c r="BO235" s="5">
        <v>0.0</v>
      </c>
    </row>
    <row r="236" ht="15.75" customHeight="1">
      <c r="A236" s="4" t="str">
        <f t="shared" si="1"/>
        <v>Liabilities|Portfolio investment, Debt securities, Positions|Mali|Half-yearly, semester</v>
      </c>
      <c r="B236" s="4" t="s">
        <v>72</v>
      </c>
      <c r="C236" s="4" t="s">
        <v>503</v>
      </c>
      <c r="D236" s="4" t="s">
        <v>74</v>
      </c>
      <c r="E236" s="4" t="s">
        <v>75</v>
      </c>
      <c r="F236" s="4" t="s">
        <v>76</v>
      </c>
      <c r="G236" s="4" t="s">
        <v>165</v>
      </c>
      <c r="H236" s="4" t="s">
        <v>78</v>
      </c>
      <c r="I236" s="4" t="s">
        <v>78</v>
      </c>
      <c r="J236" s="4" t="s">
        <v>504</v>
      </c>
      <c r="K236" s="4" t="s">
        <v>80</v>
      </c>
      <c r="L236" s="4" t="s">
        <v>81</v>
      </c>
      <c r="AL236" s="5">
        <v>0.0</v>
      </c>
      <c r="BI236" s="5">
        <v>0.0</v>
      </c>
      <c r="BM236" s="5">
        <v>0.0</v>
      </c>
      <c r="BO236" s="5">
        <v>0.0</v>
      </c>
    </row>
    <row r="237" ht="15.75" customHeight="1">
      <c r="A237" s="4" t="str">
        <f t="shared" si="1"/>
        <v>Liabilities|Portfolio investment, Debt securities, Positions|Kuwait|Half-yearly, semester</v>
      </c>
      <c r="B237" s="4" t="s">
        <v>72</v>
      </c>
      <c r="C237" s="4" t="s">
        <v>505</v>
      </c>
      <c r="D237" s="4" t="s">
        <v>74</v>
      </c>
      <c r="E237" s="4" t="s">
        <v>75</v>
      </c>
      <c r="F237" s="4" t="s">
        <v>76</v>
      </c>
      <c r="G237" s="4" t="s">
        <v>165</v>
      </c>
      <c r="H237" s="4" t="s">
        <v>78</v>
      </c>
      <c r="I237" s="4" t="s">
        <v>78</v>
      </c>
      <c r="J237" s="4" t="s">
        <v>506</v>
      </c>
      <c r="K237" s="4" t="s">
        <v>80</v>
      </c>
      <c r="L237" s="4" t="s">
        <v>81</v>
      </c>
      <c r="AL237" s="5">
        <v>0.0</v>
      </c>
      <c r="BI237" s="5">
        <v>0.0</v>
      </c>
      <c r="BM237" s="5">
        <v>0.0</v>
      </c>
      <c r="BO237" s="5">
        <v>0.0</v>
      </c>
    </row>
    <row r="238" ht="15.75" customHeight="1">
      <c r="A238" s="4" t="str">
        <f t="shared" si="1"/>
        <v>Liabilities|Portfolio investment, Debt securities, Positions|Gabon|Half-yearly, semester</v>
      </c>
      <c r="B238" s="4" t="s">
        <v>72</v>
      </c>
      <c r="C238" s="4" t="s">
        <v>507</v>
      </c>
      <c r="D238" s="4" t="s">
        <v>74</v>
      </c>
      <c r="E238" s="4" t="s">
        <v>75</v>
      </c>
      <c r="F238" s="4" t="s">
        <v>76</v>
      </c>
      <c r="G238" s="4" t="s">
        <v>165</v>
      </c>
      <c r="H238" s="4" t="s">
        <v>78</v>
      </c>
      <c r="I238" s="4" t="s">
        <v>78</v>
      </c>
      <c r="J238" s="4" t="s">
        <v>508</v>
      </c>
      <c r="K238" s="4" t="s">
        <v>80</v>
      </c>
      <c r="L238" s="4" t="s">
        <v>81</v>
      </c>
      <c r="AL238" s="5">
        <v>0.0</v>
      </c>
      <c r="BI238" s="5">
        <v>0.0</v>
      </c>
      <c r="BM238" s="5">
        <v>0.0</v>
      </c>
      <c r="BO238" s="5">
        <v>0.0</v>
      </c>
    </row>
    <row r="239" ht="15.75" customHeight="1">
      <c r="A239" s="4" t="str">
        <f t="shared" si="1"/>
        <v>Liabilities|Portfolio investment, Debt securities, Positions|Eswatini, Kingdom of|Half-yearly, semester</v>
      </c>
      <c r="B239" s="4" t="s">
        <v>72</v>
      </c>
      <c r="C239" s="4" t="s">
        <v>509</v>
      </c>
      <c r="D239" s="4" t="s">
        <v>74</v>
      </c>
      <c r="E239" s="4" t="s">
        <v>75</v>
      </c>
      <c r="F239" s="4" t="s">
        <v>76</v>
      </c>
      <c r="G239" s="4" t="s">
        <v>165</v>
      </c>
      <c r="H239" s="4" t="s">
        <v>78</v>
      </c>
      <c r="I239" s="4" t="s">
        <v>78</v>
      </c>
      <c r="J239" s="4" t="s">
        <v>511</v>
      </c>
      <c r="K239" s="4" t="s">
        <v>80</v>
      </c>
      <c r="L239" s="4" t="s">
        <v>81</v>
      </c>
      <c r="AL239" s="5">
        <v>0.0</v>
      </c>
      <c r="BI239" s="5">
        <v>0.0</v>
      </c>
      <c r="BM239" s="5">
        <v>0.0</v>
      </c>
      <c r="BO239" s="5">
        <v>0.0</v>
      </c>
    </row>
    <row r="240" ht="15.75" customHeight="1">
      <c r="A240" s="4" t="str">
        <f t="shared" si="1"/>
        <v>Liabilities|Portfolio investment, Debt securities, Positions|Solomon Islands|Half-yearly, semester</v>
      </c>
      <c r="B240" s="4" t="s">
        <v>72</v>
      </c>
      <c r="C240" s="4" t="s">
        <v>512</v>
      </c>
      <c r="D240" s="4" t="s">
        <v>74</v>
      </c>
      <c r="E240" s="4" t="s">
        <v>75</v>
      </c>
      <c r="F240" s="4" t="s">
        <v>76</v>
      </c>
      <c r="G240" s="4" t="s">
        <v>165</v>
      </c>
      <c r="H240" s="4" t="s">
        <v>78</v>
      </c>
      <c r="I240" s="4" t="s">
        <v>78</v>
      </c>
      <c r="J240" s="4" t="s">
        <v>153</v>
      </c>
      <c r="K240" s="4" t="s">
        <v>80</v>
      </c>
      <c r="L240" s="4" t="s">
        <v>81</v>
      </c>
      <c r="AL240" s="5">
        <v>0.0</v>
      </c>
      <c r="BI240" s="5">
        <v>0.0</v>
      </c>
      <c r="BM240" s="5">
        <v>0.0</v>
      </c>
      <c r="BO240" s="5">
        <v>0.0</v>
      </c>
    </row>
    <row r="241" ht="15.75" customHeight="1">
      <c r="A241" s="4" t="str">
        <f t="shared" si="1"/>
        <v>Liabilities|Portfolio investment, Debt securities, Positions|Serbia, Republic of|Half-yearly, semester</v>
      </c>
      <c r="B241" s="4" t="s">
        <v>72</v>
      </c>
      <c r="C241" s="4" t="s">
        <v>513</v>
      </c>
      <c r="D241" s="4" t="s">
        <v>74</v>
      </c>
      <c r="E241" s="4" t="s">
        <v>75</v>
      </c>
      <c r="F241" s="4" t="s">
        <v>76</v>
      </c>
      <c r="G241" s="4" t="s">
        <v>165</v>
      </c>
      <c r="H241" s="4" t="s">
        <v>78</v>
      </c>
      <c r="I241" s="4" t="s">
        <v>78</v>
      </c>
      <c r="J241" s="4" t="s">
        <v>514</v>
      </c>
      <c r="K241" s="4" t="s">
        <v>80</v>
      </c>
      <c r="L241" s="4" t="s">
        <v>81</v>
      </c>
      <c r="AL241" s="5">
        <v>0.0</v>
      </c>
      <c r="BI241" s="5">
        <v>0.0</v>
      </c>
      <c r="BM241" s="5">
        <v>0.0</v>
      </c>
      <c r="BO241" s="5">
        <v>0.0</v>
      </c>
    </row>
    <row r="242" ht="15.75" customHeight="1">
      <c r="A242" s="4" t="str">
        <f t="shared" si="1"/>
        <v>Liabilities|Portfolio investment, Debt securities, Positions|Myanmar|Half-yearly, semester</v>
      </c>
      <c r="B242" s="4" t="s">
        <v>72</v>
      </c>
      <c r="C242" s="4" t="s">
        <v>515</v>
      </c>
      <c r="D242" s="4" t="s">
        <v>74</v>
      </c>
      <c r="E242" s="4" t="s">
        <v>75</v>
      </c>
      <c r="F242" s="4" t="s">
        <v>76</v>
      </c>
      <c r="G242" s="4" t="s">
        <v>165</v>
      </c>
      <c r="H242" s="4" t="s">
        <v>78</v>
      </c>
      <c r="I242" s="4" t="s">
        <v>78</v>
      </c>
      <c r="J242" s="4" t="s">
        <v>240</v>
      </c>
      <c r="K242" s="4" t="s">
        <v>80</v>
      </c>
      <c r="L242" s="4" t="s">
        <v>81</v>
      </c>
      <c r="AL242" s="5">
        <v>0.0</v>
      </c>
      <c r="BI242" s="5">
        <v>0.0</v>
      </c>
      <c r="BM242" s="5">
        <v>0.0</v>
      </c>
      <c r="BO242" s="5">
        <v>0.0</v>
      </c>
    </row>
    <row r="243" ht="15.75" customHeight="1">
      <c r="A243" s="4" t="str">
        <f t="shared" si="1"/>
        <v>Liabilities|Portfolio investment, Debt securities, Positions|Gibraltar|Half-yearly, semester</v>
      </c>
      <c r="B243" s="4" t="s">
        <v>72</v>
      </c>
      <c r="C243" s="4" t="s">
        <v>516</v>
      </c>
      <c r="D243" s="4" t="s">
        <v>74</v>
      </c>
      <c r="E243" s="4" t="s">
        <v>75</v>
      </c>
      <c r="F243" s="4" t="s">
        <v>76</v>
      </c>
      <c r="G243" s="4" t="s">
        <v>165</v>
      </c>
      <c r="H243" s="4" t="s">
        <v>78</v>
      </c>
      <c r="I243" s="4" t="s">
        <v>78</v>
      </c>
      <c r="J243" s="4" t="s">
        <v>95</v>
      </c>
      <c r="K243" s="4" t="s">
        <v>80</v>
      </c>
      <c r="L243" s="4" t="s">
        <v>81</v>
      </c>
      <c r="AL243" s="5">
        <v>0.0</v>
      </c>
      <c r="BI243" s="5">
        <v>0.0</v>
      </c>
      <c r="BM243" s="5">
        <v>0.0</v>
      </c>
      <c r="BO243" s="5">
        <v>0.0</v>
      </c>
    </row>
    <row r="244" ht="15.75" customHeight="1">
      <c r="A244" s="4" t="str">
        <f t="shared" si="1"/>
        <v>Liabilities|Portfolio investment, Debt securities, Positions|Réunion|Half-yearly, semester</v>
      </c>
      <c r="B244" s="4" t="s">
        <v>72</v>
      </c>
      <c r="C244" s="4" t="s">
        <v>517</v>
      </c>
      <c r="D244" s="4" t="s">
        <v>74</v>
      </c>
      <c r="E244" s="4" t="s">
        <v>75</v>
      </c>
      <c r="F244" s="4" t="s">
        <v>76</v>
      </c>
      <c r="G244" s="4" t="s">
        <v>165</v>
      </c>
      <c r="H244" s="4" t="s">
        <v>78</v>
      </c>
      <c r="I244" s="4" t="s">
        <v>78</v>
      </c>
      <c r="J244" s="4" t="s">
        <v>518</v>
      </c>
      <c r="K244" s="4" t="s">
        <v>80</v>
      </c>
      <c r="L244" s="4" t="s">
        <v>81</v>
      </c>
      <c r="AL244" s="5">
        <v>0.0</v>
      </c>
      <c r="BI244" s="5">
        <v>0.0</v>
      </c>
      <c r="BM244" s="5">
        <v>0.0</v>
      </c>
      <c r="BO244" s="5">
        <v>0.0</v>
      </c>
    </row>
    <row r="245" ht="15.75" customHeight="1">
      <c r="A245" s="4" t="str">
        <f t="shared" si="1"/>
        <v>Liabilities|Portfolio investment, Debt securities, Positions|Algeria|Half-yearly, semester</v>
      </c>
      <c r="B245" s="4" t="s">
        <v>72</v>
      </c>
      <c r="C245" s="4" t="s">
        <v>519</v>
      </c>
      <c r="D245" s="4" t="s">
        <v>74</v>
      </c>
      <c r="E245" s="4" t="s">
        <v>75</v>
      </c>
      <c r="F245" s="4" t="s">
        <v>76</v>
      </c>
      <c r="G245" s="4" t="s">
        <v>165</v>
      </c>
      <c r="H245" s="4" t="s">
        <v>78</v>
      </c>
      <c r="I245" s="4" t="s">
        <v>78</v>
      </c>
      <c r="J245" s="4" t="s">
        <v>520</v>
      </c>
      <c r="K245" s="4" t="s">
        <v>80</v>
      </c>
      <c r="L245" s="4" t="s">
        <v>81</v>
      </c>
      <c r="AL245" s="5">
        <v>0.0</v>
      </c>
      <c r="BI245" s="5">
        <v>0.0</v>
      </c>
      <c r="BM245" s="5">
        <v>0.0</v>
      </c>
      <c r="BO245" s="5">
        <v>0.0</v>
      </c>
    </row>
    <row r="246" ht="15.75" customHeight="1">
      <c r="A246" s="4" t="str">
        <f t="shared" si="1"/>
        <v>Liabilities|Portfolio investment, Debt securities, Positions|Samoa|Half-yearly, semester</v>
      </c>
      <c r="B246" s="4" t="s">
        <v>72</v>
      </c>
      <c r="C246" s="4" t="s">
        <v>521</v>
      </c>
      <c r="D246" s="4" t="s">
        <v>74</v>
      </c>
      <c r="E246" s="4" t="s">
        <v>75</v>
      </c>
      <c r="F246" s="4" t="s">
        <v>76</v>
      </c>
      <c r="G246" s="4" t="s">
        <v>165</v>
      </c>
      <c r="H246" s="4" t="s">
        <v>78</v>
      </c>
      <c r="I246" s="4" t="s">
        <v>78</v>
      </c>
      <c r="J246" s="4" t="s">
        <v>149</v>
      </c>
      <c r="K246" s="4" t="s">
        <v>80</v>
      </c>
      <c r="L246" s="4" t="s">
        <v>81</v>
      </c>
      <c r="AL246" s="5">
        <v>4.1548269</v>
      </c>
      <c r="BI246" s="5">
        <v>0.0</v>
      </c>
      <c r="BM246" s="5">
        <v>0.0</v>
      </c>
      <c r="BO246" s="5">
        <v>0.0</v>
      </c>
    </row>
    <row r="247" ht="15.75" customHeight="1">
      <c r="A247" s="4" t="str">
        <f t="shared" si="1"/>
        <v>Liabilities|Portfolio investment, Debt securities, Positions|South Sudan, Republic of|Half-yearly, semester</v>
      </c>
      <c r="B247" s="4" t="s">
        <v>72</v>
      </c>
      <c r="C247" s="4" t="s">
        <v>522</v>
      </c>
      <c r="D247" s="4" t="s">
        <v>74</v>
      </c>
      <c r="E247" s="4" t="s">
        <v>75</v>
      </c>
      <c r="F247" s="4" t="s">
        <v>76</v>
      </c>
      <c r="G247" s="4" t="s">
        <v>165</v>
      </c>
      <c r="H247" s="4" t="s">
        <v>78</v>
      </c>
      <c r="I247" s="4" t="s">
        <v>78</v>
      </c>
      <c r="J247" s="4" t="s">
        <v>523</v>
      </c>
      <c r="K247" s="4" t="s">
        <v>80</v>
      </c>
      <c r="L247" s="4" t="s">
        <v>81</v>
      </c>
      <c r="BI247" s="5">
        <v>0.0</v>
      </c>
      <c r="BM247" s="5">
        <v>0.0</v>
      </c>
      <c r="BO247" s="5">
        <v>0.0</v>
      </c>
    </row>
    <row r="248" ht="15.75" customHeight="1">
      <c r="A248" s="4" t="str">
        <f t="shared" si="1"/>
        <v>Liabilities|Portfolio investment, Debt securities, Positions|Croatia, Republic of|Half-yearly, semester</v>
      </c>
      <c r="B248" s="4" t="s">
        <v>72</v>
      </c>
      <c r="C248" s="4" t="s">
        <v>524</v>
      </c>
      <c r="D248" s="4" t="s">
        <v>74</v>
      </c>
      <c r="E248" s="4" t="s">
        <v>75</v>
      </c>
      <c r="F248" s="4" t="s">
        <v>76</v>
      </c>
      <c r="G248" s="4" t="s">
        <v>165</v>
      </c>
      <c r="H248" s="4" t="s">
        <v>78</v>
      </c>
      <c r="I248" s="4" t="s">
        <v>78</v>
      </c>
      <c r="J248" s="4" t="s">
        <v>91</v>
      </c>
      <c r="K248" s="4" t="s">
        <v>80</v>
      </c>
      <c r="L248" s="4" t="s">
        <v>81</v>
      </c>
      <c r="AL248" s="5">
        <v>0.0</v>
      </c>
      <c r="BI248" s="5">
        <v>0.0</v>
      </c>
      <c r="BM248" s="5">
        <v>0.0</v>
      </c>
      <c r="BO248" s="5">
        <v>0.0</v>
      </c>
    </row>
    <row r="249" ht="15.75" customHeight="1">
      <c r="A249" s="4" t="str">
        <f t="shared" si="1"/>
        <v>Liabilities|Portfolio investment, Debt securities, Positions|Hungary|Half-yearly, semester</v>
      </c>
      <c r="B249" s="4" t="s">
        <v>72</v>
      </c>
      <c r="C249" s="4" t="s">
        <v>525</v>
      </c>
      <c r="D249" s="4" t="s">
        <v>74</v>
      </c>
      <c r="E249" s="4" t="s">
        <v>75</v>
      </c>
      <c r="F249" s="4" t="s">
        <v>76</v>
      </c>
      <c r="G249" s="4" t="s">
        <v>165</v>
      </c>
      <c r="H249" s="4" t="s">
        <v>78</v>
      </c>
      <c r="I249" s="4" t="s">
        <v>78</v>
      </c>
      <c r="J249" s="4" t="s">
        <v>180</v>
      </c>
      <c r="K249" s="4" t="s">
        <v>80</v>
      </c>
      <c r="L249" s="4" t="s">
        <v>81</v>
      </c>
      <c r="AL249" s="5">
        <v>0.0</v>
      </c>
      <c r="BI249" s="5">
        <v>0.0</v>
      </c>
      <c r="BM249" s="5">
        <v>0.0</v>
      </c>
      <c r="BO249" s="5">
        <v>0.0</v>
      </c>
    </row>
    <row r="250" ht="15.75" customHeight="1">
      <c r="A250" s="4" t="str">
        <f t="shared" si="1"/>
        <v>Liabilities|Portfolio investment, Debt securities, Positions|Kosovo, Republic of|Half-yearly, semester</v>
      </c>
      <c r="B250" s="4" t="s">
        <v>72</v>
      </c>
      <c r="C250" s="4" t="s">
        <v>526</v>
      </c>
      <c r="D250" s="4" t="s">
        <v>74</v>
      </c>
      <c r="E250" s="4" t="s">
        <v>75</v>
      </c>
      <c r="F250" s="4" t="s">
        <v>76</v>
      </c>
      <c r="G250" s="4" t="s">
        <v>165</v>
      </c>
      <c r="H250" s="4" t="s">
        <v>78</v>
      </c>
      <c r="I250" s="4" t="s">
        <v>78</v>
      </c>
      <c r="J250" s="4" t="s">
        <v>527</v>
      </c>
      <c r="K250" s="4" t="s">
        <v>80</v>
      </c>
      <c r="L250" s="4" t="s">
        <v>81</v>
      </c>
      <c r="BI250" s="5">
        <v>0.0</v>
      </c>
      <c r="BM250" s="5">
        <v>0.0</v>
      </c>
      <c r="BO250" s="5">
        <v>0.0</v>
      </c>
    </row>
    <row r="251" ht="15.75" customHeight="1">
      <c r="A251" s="4" t="str">
        <f t="shared" si="1"/>
        <v>Liabilities|Portfolio investment, Debt securities, Positions|Turkmenistan|Half-yearly, semester</v>
      </c>
      <c r="B251" s="4" t="s">
        <v>72</v>
      </c>
      <c r="C251" s="4" t="s">
        <v>528</v>
      </c>
      <c r="D251" s="4" t="s">
        <v>74</v>
      </c>
      <c r="E251" s="4" t="s">
        <v>75</v>
      </c>
      <c r="F251" s="4" t="s">
        <v>76</v>
      </c>
      <c r="G251" s="4" t="s">
        <v>165</v>
      </c>
      <c r="H251" s="4" t="s">
        <v>78</v>
      </c>
      <c r="I251" s="4" t="s">
        <v>78</v>
      </c>
      <c r="J251" s="4" t="s">
        <v>529</v>
      </c>
      <c r="K251" s="4" t="s">
        <v>80</v>
      </c>
      <c r="L251" s="4" t="s">
        <v>81</v>
      </c>
      <c r="AL251" s="5">
        <v>0.0</v>
      </c>
      <c r="BI251" s="5">
        <v>0.0</v>
      </c>
      <c r="BM251" s="5">
        <v>0.0</v>
      </c>
      <c r="BO251" s="5">
        <v>0.0</v>
      </c>
    </row>
    <row r="252" ht="15.75" customHeight="1">
      <c r="A252" s="4" t="str">
        <f t="shared" si="1"/>
        <v>Liabilities|Portfolio investment, Debt securities, Positions|Poland, Republic of|Half-yearly, semester</v>
      </c>
      <c r="B252" s="4" t="s">
        <v>72</v>
      </c>
      <c r="C252" s="4" t="s">
        <v>530</v>
      </c>
      <c r="D252" s="4" t="s">
        <v>74</v>
      </c>
      <c r="E252" s="4" t="s">
        <v>75</v>
      </c>
      <c r="F252" s="4" t="s">
        <v>76</v>
      </c>
      <c r="G252" s="4" t="s">
        <v>165</v>
      </c>
      <c r="H252" s="4" t="s">
        <v>78</v>
      </c>
      <c r="I252" s="4" t="s">
        <v>78</v>
      </c>
      <c r="J252" s="4" t="s">
        <v>155</v>
      </c>
      <c r="K252" s="4" t="s">
        <v>80</v>
      </c>
      <c r="L252" s="4" t="s">
        <v>81</v>
      </c>
      <c r="AL252" s="5">
        <v>0.0</v>
      </c>
      <c r="BI252" s="5">
        <v>0.0</v>
      </c>
      <c r="BM252" s="5">
        <v>0.0</v>
      </c>
      <c r="BO252" s="5">
        <v>0.0</v>
      </c>
    </row>
    <row r="253" ht="15.75" customHeight="1">
      <c r="A253" s="4" t="str">
        <f t="shared" si="1"/>
        <v>Liabilities|Portfolio investment, Debt securities, Positions|Cocos Islands|Half-yearly, semester</v>
      </c>
      <c r="B253" s="4" t="s">
        <v>72</v>
      </c>
      <c r="C253" s="4" t="s">
        <v>531</v>
      </c>
      <c r="D253" s="4" t="s">
        <v>74</v>
      </c>
      <c r="E253" s="4" t="s">
        <v>75</v>
      </c>
      <c r="F253" s="4" t="s">
        <v>76</v>
      </c>
      <c r="G253" s="4" t="s">
        <v>165</v>
      </c>
      <c r="H253" s="4" t="s">
        <v>78</v>
      </c>
      <c r="I253" s="4" t="s">
        <v>78</v>
      </c>
      <c r="J253" s="4" t="s">
        <v>532</v>
      </c>
      <c r="K253" s="4" t="s">
        <v>80</v>
      </c>
      <c r="L253" s="4" t="s">
        <v>81</v>
      </c>
      <c r="AL253" s="5">
        <v>0.0</v>
      </c>
      <c r="BI253" s="5">
        <v>0.0</v>
      </c>
      <c r="BM253" s="5">
        <v>0.0</v>
      </c>
      <c r="BO253" s="5">
        <v>0.0</v>
      </c>
    </row>
    <row r="254" ht="15.75" customHeight="1">
      <c r="A254" s="4" t="str">
        <f t="shared" si="1"/>
        <v>Liabilities|Portfolio investment, Debt securities, Positions|Slovak Republic|Half-yearly, semester</v>
      </c>
      <c r="B254" s="4" t="s">
        <v>72</v>
      </c>
      <c r="C254" s="4" t="s">
        <v>533</v>
      </c>
      <c r="D254" s="4" t="s">
        <v>74</v>
      </c>
      <c r="E254" s="4" t="s">
        <v>75</v>
      </c>
      <c r="F254" s="4" t="s">
        <v>76</v>
      </c>
      <c r="G254" s="4" t="s">
        <v>165</v>
      </c>
      <c r="H254" s="4" t="s">
        <v>78</v>
      </c>
      <c r="I254" s="4" t="s">
        <v>78</v>
      </c>
      <c r="J254" s="4" t="s">
        <v>199</v>
      </c>
      <c r="K254" s="4" t="s">
        <v>80</v>
      </c>
      <c r="L254" s="4" t="s">
        <v>81</v>
      </c>
      <c r="AL254" s="5">
        <v>0.0</v>
      </c>
      <c r="BI254" s="5">
        <v>0.0</v>
      </c>
      <c r="BM254" s="5">
        <v>0.0</v>
      </c>
      <c r="BO254" s="5">
        <v>0.0</v>
      </c>
    </row>
    <row r="255" ht="15.75" customHeight="1">
      <c r="A255" s="4" t="str">
        <f t="shared" si="1"/>
        <v>Liabilities|Portfolio investment, Debt securities, Positions|Russian Federation|Half-yearly, semester</v>
      </c>
      <c r="B255" s="4" t="s">
        <v>72</v>
      </c>
      <c r="C255" s="4" t="s">
        <v>534</v>
      </c>
      <c r="D255" s="4" t="s">
        <v>74</v>
      </c>
      <c r="E255" s="4" t="s">
        <v>75</v>
      </c>
      <c r="F255" s="4" t="s">
        <v>76</v>
      </c>
      <c r="G255" s="4" t="s">
        <v>165</v>
      </c>
      <c r="H255" s="4" t="s">
        <v>78</v>
      </c>
      <c r="I255" s="4" t="s">
        <v>78</v>
      </c>
      <c r="J255" s="4" t="s">
        <v>111</v>
      </c>
      <c r="K255" s="4" t="s">
        <v>80</v>
      </c>
      <c r="L255" s="4" t="s">
        <v>81</v>
      </c>
      <c r="BI255" s="5">
        <v>0.0</v>
      </c>
      <c r="BM255" s="5">
        <v>0.0</v>
      </c>
      <c r="BO255" s="5">
        <v>0.0</v>
      </c>
    </row>
    <row r="256" ht="15.75" customHeight="1">
      <c r="A256" s="4" t="str">
        <f t="shared" si="1"/>
        <v>Liabilities|Portfolio investment, Debt securities, Positions|Mongolia|Half-yearly, semester</v>
      </c>
      <c r="B256" s="4" t="s">
        <v>72</v>
      </c>
      <c r="C256" s="4" t="s">
        <v>535</v>
      </c>
      <c r="D256" s="4" t="s">
        <v>74</v>
      </c>
      <c r="E256" s="4" t="s">
        <v>75</v>
      </c>
      <c r="F256" s="4" t="s">
        <v>76</v>
      </c>
      <c r="G256" s="4" t="s">
        <v>165</v>
      </c>
      <c r="H256" s="4" t="s">
        <v>78</v>
      </c>
      <c r="I256" s="4" t="s">
        <v>78</v>
      </c>
      <c r="J256" s="4" t="s">
        <v>536</v>
      </c>
      <c r="K256" s="4" t="s">
        <v>80</v>
      </c>
      <c r="L256" s="4" t="s">
        <v>81</v>
      </c>
      <c r="AL256" s="5">
        <v>0.0</v>
      </c>
      <c r="BI256" s="5">
        <v>0.0</v>
      </c>
      <c r="BM256" s="5">
        <v>0.0</v>
      </c>
      <c r="BO256" s="5">
        <v>0.0</v>
      </c>
    </row>
    <row r="257" ht="15.75" customHeight="1">
      <c r="A257" s="4" t="str">
        <f t="shared" si="1"/>
        <v>Liabilities|Portfolio investment, Debt securities, Positions|Georgia|Half-yearly, semester</v>
      </c>
      <c r="B257" s="4" t="s">
        <v>72</v>
      </c>
      <c r="C257" s="4" t="s">
        <v>537</v>
      </c>
      <c r="D257" s="4" t="s">
        <v>74</v>
      </c>
      <c r="E257" s="4" t="s">
        <v>75</v>
      </c>
      <c r="F257" s="4" t="s">
        <v>76</v>
      </c>
      <c r="G257" s="4" t="s">
        <v>165</v>
      </c>
      <c r="H257" s="4" t="s">
        <v>78</v>
      </c>
      <c r="I257" s="4" t="s">
        <v>78</v>
      </c>
      <c r="J257" s="4" t="s">
        <v>538</v>
      </c>
      <c r="K257" s="4" t="s">
        <v>80</v>
      </c>
      <c r="L257" s="4" t="s">
        <v>81</v>
      </c>
      <c r="AL257" s="5">
        <v>0.0</v>
      </c>
      <c r="BI257" s="5">
        <v>0.0</v>
      </c>
      <c r="BM257" s="5">
        <v>0.0</v>
      </c>
      <c r="BO257" s="5">
        <v>0.0</v>
      </c>
    </row>
    <row r="258" ht="15.75" customHeight="1">
      <c r="A258" s="4" t="str">
        <f t="shared" si="1"/>
        <v>Liabilities|Portfolio investment, Debt securities, Positions|Romania|Half-yearly, semester</v>
      </c>
      <c r="B258" s="4" t="s">
        <v>72</v>
      </c>
      <c r="C258" s="4" t="s">
        <v>539</v>
      </c>
      <c r="D258" s="4" t="s">
        <v>74</v>
      </c>
      <c r="E258" s="4" t="s">
        <v>75</v>
      </c>
      <c r="F258" s="4" t="s">
        <v>76</v>
      </c>
      <c r="G258" s="4" t="s">
        <v>165</v>
      </c>
      <c r="H258" s="4" t="s">
        <v>78</v>
      </c>
      <c r="I258" s="4" t="s">
        <v>78</v>
      </c>
      <c r="J258" s="4" t="s">
        <v>540</v>
      </c>
      <c r="K258" s="4" t="s">
        <v>80</v>
      </c>
      <c r="L258" s="4" t="s">
        <v>81</v>
      </c>
      <c r="AL258" s="5">
        <v>0.0</v>
      </c>
      <c r="BI258" s="5">
        <v>0.0</v>
      </c>
      <c r="BM258" s="5">
        <v>0.0</v>
      </c>
      <c r="BO258" s="5">
        <v>0.0</v>
      </c>
    </row>
    <row r="259" ht="15.75" customHeight="1">
      <c r="A259" s="4" t="str">
        <f t="shared" si="1"/>
        <v>Liabilities|Portfolio investment, Debt securities, Positions|Bosnia and Herzegovina|Half-yearly, semester</v>
      </c>
      <c r="B259" s="4" t="s">
        <v>72</v>
      </c>
      <c r="C259" s="4" t="s">
        <v>541</v>
      </c>
      <c r="D259" s="4" t="s">
        <v>74</v>
      </c>
      <c r="E259" s="4" t="s">
        <v>75</v>
      </c>
      <c r="F259" s="4" t="s">
        <v>76</v>
      </c>
      <c r="G259" s="4" t="s">
        <v>165</v>
      </c>
      <c r="H259" s="4" t="s">
        <v>78</v>
      </c>
      <c r="I259" s="4" t="s">
        <v>78</v>
      </c>
      <c r="J259" s="4" t="s">
        <v>246</v>
      </c>
      <c r="K259" s="4" t="s">
        <v>80</v>
      </c>
      <c r="L259" s="4" t="s">
        <v>81</v>
      </c>
      <c r="AL259" s="5">
        <v>0.0</v>
      </c>
      <c r="BI259" s="5">
        <v>0.0</v>
      </c>
      <c r="BM259" s="5">
        <v>0.0</v>
      </c>
      <c r="BO259" s="5">
        <v>0.0</v>
      </c>
    </row>
    <row r="260" ht="15.75" customHeight="1">
      <c r="A260" s="4" t="str">
        <f t="shared" si="1"/>
        <v>Liabilities|Portfolio investment, Debt securities, Positions|American Samoa|Half-yearly, semester</v>
      </c>
      <c r="B260" s="4" t="s">
        <v>72</v>
      </c>
      <c r="C260" s="4" t="s">
        <v>542</v>
      </c>
      <c r="D260" s="4" t="s">
        <v>74</v>
      </c>
      <c r="E260" s="4" t="s">
        <v>75</v>
      </c>
      <c r="F260" s="4" t="s">
        <v>76</v>
      </c>
      <c r="G260" s="4" t="s">
        <v>165</v>
      </c>
      <c r="H260" s="4" t="s">
        <v>78</v>
      </c>
      <c r="I260" s="4" t="s">
        <v>78</v>
      </c>
      <c r="J260" s="4" t="s">
        <v>131</v>
      </c>
      <c r="K260" s="4" t="s">
        <v>80</v>
      </c>
      <c r="L260" s="4" t="s">
        <v>81</v>
      </c>
      <c r="AL260" s="5">
        <v>0.0</v>
      </c>
      <c r="BI260" s="5">
        <v>0.0</v>
      </c>
      <c r="BM260" s="5">
        <v>0.0</v>
      </c>
      <c r="BO260" s="5">
        <v>0.0</v>
      </c>
    </row>
    <row r="261" ht="15.75" customHeight="1">
      <c r="A261" s="4" t="str">
        <f t="shared" si="1"/>
        <v>Liabilities|Portfolio investment, Debt securities, Positions|Latvia, Republic of|Half-yearly, semester</v>
      </c>
      <c r="B261" s="4" t="s">
        <v>72</v>
      </c>
      <c r="C261" s="4" t="s">
        <v>543</v>
      </c>
      <c r="D261" s="4" t="s">
        <v>74</v>
      </c>
      <c r="E261" s="4" t="s">
        <v>75</v>
      </c>
      <c r="F261" s="4" t="s">
        <v>76</v>
      </c>
      <c r="G261" s="4" t="s">
        <v>165</v>
      </c>
      <c r="H261" s="4" t="s">
        <v>78</v>
      </c>
      <c r="I261" s="4" t="s">
        <v>78</v>
      </c>
      <c r="J261" s="4" t="s">
        <v>544</v>
      </c>
      <c r="K261" s="4" t="s">
        <v>80</v>
      </c>
      <c r="L261" s="4" t="s">
        <v>81</v>
      </c>
      <c r="AL261" s="5">
        <v>0.0</v>
      </c>
      <c r="BI261" s="5">
        <v>0.0</v>
      </c>
      <c r="BM261" s="5">
        <v>0.0</v>
      </c>
      <c r="BO261" s="5">
        <v>0.0</v>
      </c>
    </row>
    <row r="262" ht="15.75" customHeight="1">
      <c r="A262" s="4" t="str">
        <f t="shared" si="1"/>
        <v>Liabilities|Portfolio investment, Debt securities, Long-term, Positions|Lebanon|Half-yearly, semester</v>
      </c>
      <c r="B262" s="4" t="s">
        <v>72</v>
      </c>
      <c r="C262" s="4" t="s">
        <v>545</v>
      </c>
      <c r="D262" s="4" t="s">
        <v>74</v>
      </c>
      <c r="E262" s="4" t="s">
        <v>75</v>
      </c>
      <c r="F262" s="4" t="s">
        <v>76</v>
      </c>
      <c r="G262" s="4" t="s">
        <v>77</v>
      </c>
      <c r="H262" s="4" t="s">
        <v>78</v>
      </c>
      <c r="I262" s="4" t="s">
        <v>78</v>
      </c>
      <c r="J262" s="4" t="s">
        <v>430</v>
      </c>
      <c r="K262" s="4" t="s">
        <v>80</v>
      </c>
      <c r="L262" s="4" t="s">
        <v>81</v>
      </c>
      <c r="BQ262" s="5">
        <v>4.24757281553398</v>
      </c>
    </row>
    <row r="263" ht="15.75" customHeight="1">
      <c r="A263" s="4" t="str">
        <f t="shared" si="1"/>
        <v>Liabilities|Portfolio investment, Debt securities, Long-term, Positions|Estonia, Republic of|Half-yearly, semester</v>
      </c>
      <c r="B263" s="4" t="s">
        <v>72</v>
      </c>
      <c r="C263" s="4" t="s">
        <v>546</v>
      </c>
      <c r="D263" s="4" t="s">
        <v>74</v>
      </c>
      <c r="E263" s="4" t="s">
        <v>75</v>
      </c>
      <c r="F263" s="4" t="s">
        <v>76</v>
      </c>
      <c r="G263" s="4" t="s">
        <v>77</v>
      </c>
      <c r="H263" s="4" t="s">
        <v>78</v>
      </c>
      <c r="I263" s="4" t="s">
        <v>78</v>
      </c>
      <c r="J263" s="4" t="s">
        <v>547</v>
      </c>
      <c r="K263" s="4" t="s">
        <v>80</v>
      </c>
      <c r="L263" s="4" t="s">
        <v>81</v>
      </c>
      <c r="BR263" s="5">
        <v>0.0</v>
      </c>
    </row>
    <row r="264" ht="15.75" customHeight="1">
      <c r="A264" s="4" t="str">
        <f t="shared" si="1"/>
        <v>Liabilities|Portfolio investment, Debt securities, Long-term, Positions, Derived using counterparty information|Vanuatu|Half-yearly, semester</v>
      </c>
      <c r="B264" s="4" t="s">
        <v>72</v>
      </c>
      <c r="C264" s="4" t="s">
        <v>548</v>
      </c>
      <c r="D264" s="4" t="s">
        <v>74</v>
      </c>
      <c r="E264" s="4" t="s">
        <v>75</v>
      </c>
      <c r="F264" s="4" t="s">
        <v>76</v>
      </c>
      <c r="G264" s="4" t="s">
        <v>549</v>
      </c>
      <c r="H264" s="4" t="s">
        <v>78</v>
      </c>
      <c r="I264" s="4" t="s">
        <v>78</v>
      </c>
      <c r="J264" s="4" t="s">
        <v>550</v>
      </c>
      <c r="K264" s="4" t="s">
        <v>80</v>
      </c>
      <c r="L264" s="4" t="s">
        <v>81</v>
      </c>
      <c r="V264" s="5">
        <v>3.12</v>
      </c>
      <c r="X264" s="5">
        <v>2.12</v>
      </c>
      <c r="Z264" s="5">
        <v>6.0</v>
      </c>
      <c r="AF264" s="5">
        <v>10.0</v>
      </c>
    </row>
    <row r="265" ht="15.75" customHeight="1">
      <c r="A265" s="4" t="str">
        <f t="shared" si="1"/>
        <v>Liabilities|Portfolio investment, Debt securities, Long-term, Positions, Derived using counterparty information|Netherlands Antilles|Half-yearly, semester</v>
      </c>
      <c r="B265" s="4" t="s">
        <v>72</v>
      </c>
      <c r="C265" s="4" t="s">
        <v>551</v>
      </c>
      <c r="D265" s="4" t="s">
        <v>74</v>
      </c>
      <c r="E265" s="4" t="s">
        <v>75</v>
      </c>
      <c r="F265" s="4" t="s">
        <v>76</v>
      </c>
      <c r="G265" s="4" t="s">
        <v>549</v>
      </c>
      <c r="H265" s="4" t="s">
        <v>78</v>
      </c>
      <c r="I265" s="4" t="s">
        <v>78</v>
      </c>
      <c r="J265" s="4" t="s">
        <v>172</v>
      </c>
      <c r="K265" s="4" t="s">
        <v>80</v>
      </c>
      <c r="L265" s="4" t="s">
        <v>81</v>
      </c>
      <c r="V265" s="5">
        <v>11.89</v>
      </c>
      <c r="X265" s="5">
        <v>1.899</v>
      </c>
      <c r="Z265" s="5">
        <v>47.847</v>
      </c>
      <c r="AD265" s="5">
        <v>47.847</v>
      </c>
      <c r="AJ265" s="5">
        <v>1.15</v>
      </c>
      <c r="AL265" s="5">
        <v>1.525</v>
      </c>
    </row>
    <row r="266" ht="15.75" customHeight="1">
      <c r="A266" s="4" t="str">
        <f t="shared" si="1"/>
        <v>Liabilities|Portfolio investment, Debt securities, Long-term, Positions, Derived using counterparty information|Kuwait|Half-yearly, semester</v>
      </c>
      <c r="B266" s="4" t="s">
        <v>72</v>
      </c>
      <c r="C266" s="4" t="s">
        <v>552</v>
      </c>
      <c r="D266" s="4" t="s">
        <v>74</v>
      </c>
      <c r="E266" s="4" t="s">
        <v>75</v>
      </c>
      <c r="F266" s="4" t="s">
        <v>76</v>
      </c>
      <c r="G266" s="4" t="s">
        <v>549</v>
      </c>
      <c r="H266" s="4" t="s">
        <v>78</v>
      </c>
      <c r="I266" s="4" t="s">
        <v>78</v>
      </c>
      <c r="J266" s="4" t="s">
        <v>506</v>
      </c>
      <c r="K266" s="4" t="s">
        <v>80</v>
      </c>
      <c r="L266" s="4" t="s">
        <v>81</v>
      </c>
      <c r="AH266" s="5">
        <v>0.0</v>
      </c>
      <c r="AJ266" s="5">
        <v>0.0</v>
      </c>
      <c r="AL266" s="5">
        <v>0.0</v>
      </c>
    </row>
    <row r="267" ht="15.75" customHeight="1">
      <c r="A267" s="4" t="str">
        <f t="shared" si="1"/>
        <v>Liabilities|Portfolio investment, Debt securities, Long-term, Positions, Derived using counterparty information|Bahrain, Kingdom of|Half-yearly, semester</v>
      </c>
      <c r="B267" s="4" t="s">
        <v>72</v>
      </c>
      <c r="C267" s="4" t="s">
        <v>553</v>
      </c>
      <c r="D267" s="4" t="s">
        <v>74</v>
      </c>
      <c r="E267" s="4" t="s">
        <v>75</v>
      </c>
      <c r="F267" s="4" t="s">
        <v>76</v>
      </c>
      <c r="G267" s="4" t="s">
        <v>549</v>
      </c>
      <c r="H267" s="4" t="s">
        <v>78</v>
      </c>
      <c r="I267" s="4" t="s">
        <v>78</v>
      </c>
      <c r="J267" s="4" t="s">
        <v>244</v>
      </c>
      <c r="K267" s="4" t="s">
        <v>80</v>
      </c>
      <c r="L267" s="4" t="s">
        <v>81</v>
      </c>
      <c r="V267" s="5">
        <v>16.8</v>
      </c>
      <c r="AH267" s="5">
        <v>0.0</v>
      </c>
      <c r="AL267" s="5">
        <v>17.0</v>
      </c>
      <c r="AN267" s="5">
        <v>25.0</v>
      </c>
      <c r="AP267" s="5">
        <v>25.1</v>
      </c>
      <c r="AR267" s="5">
        <v>27.7</v>
      </c>
      <c r="AT267" s="5">
        <v>25.9</v>
      </c>
      <c r="AV267" s="5">
        <v>4.68743</v>
      </c>
      <c r="AX267" s="5">
        <v>10.24709</v>
      </c>
      <c r="BB267" s="5">
        <v>12.6</v>
      </c>
      <c r="BD267" s="5">
        <v>13.2942885134844</v>
      </c>
      <c r="BF267" s="5">
        <v>13.7095346711864</v>
      </c>
      <c r="BH267" s="5">
        <v>14.1101178649754</v>
      </c>
      <c r="BJ267" s="5">
        <v>15.2268941422261</v>
      </c>
      <c r="BL267" s="5">
        <v>15.0</v>
      </c>
      <c r="BN267" s="5">
        <v>17.1</v>
      </c>
      <c r="BP267" s="5">
        <v>18.5</v>
      </c>
    </row>
    <row r="268" ht="15.75" customHeight="1">
      <c r="A268" s="4" t="str">
        <f t="shared" si="1"/>
        <v>Liabilities|Portfolio investment, Debt securities, Long-term, Positions, Derived using counterparty information|Venezuela, República Bolivariana de|Half-yearly, semester</v>
      </c>
      <c r="B268" s="4" t="s">
        <v>72</v>
      </c>
      <c r="C268" s="4" t="s">
        <v>554</v>
      </c>
      <c r="D268" s="4" t="s">
        <v>74</v>
      </c>
      <c r="E268" s="4" t="s">
        <v>75</v>
      </c>
      <c r="F268" s="4" t="s">
        <v>76</v>
      </c>
      <c r="G268" s="4" t="s">
        <v>549</v>
      </c>
      <c r="H268" s="4" t="s">
        <v>78</v>
      </c>
      <c r="I268" s="4" t="s">
        <v>78</v>
      </c>
      <c r="J268" s="4" t="s">
        <v>133</v>
      </c>
      <c r="K268" s="4" t="s">
        <v>80</v>
      </c>
      <c r="L268" s="4" t="s">
        <v>81</v>
      </c>
      <c r="N268" s="5">
        <v>0.0</v>
      </c>
      <c r="Z268" s="5">
        <v>0.0</v>
      </c>
      <c r="AB268" s="5">
        <v>0.0</v>
      </c>
      <c r="AJ268" s="5">
        <v>0.0</v>
      </c>
      <c r="AL268" s="5">
        <v>0.0</v>
      </c>
      <c r="AN268" s="5">
        <v>0.0</v>
      </c>
      <c r="AP268" s="5">
        <v>0.0</v>
      </c>
    </row>
    <row r="269" ht="15.75" customHeight="1">
      <c r="A269" s="4" t="str">
        <f t="shared" si="1"/>
        <v>Liabilities|Portfolio investment, Debt securities, Long-term, Positions, Derived using counterparty information|West Bank and Gaza|Half-yearly, semester</v>
      </c>
      <c r="B269" s="4" t="s">
        <v>72</v>
      </c>
      <c r="C269" s="4" t="s">
        <v>555</v>
      </c>
      <c r="D269" s="4" t="s">
        <v>74</v>
      </c>
      <c r="E269" s="4" t="s">
        <v>75</v>
      </c>
      <c r="F269" s="4" t="s">
        <v>76</v>
      </c>
      <c r="G269" s="4" t="s">
        <v>549</v>
      </c>
      <c r="H269" s="4" t="s">
        <v>78</v>
      </c>
      <c r="I269" s="4" t="s">
        <v>78</v>
      </c>
      <c r="J269" s="4" t="s">
        <v>331</v>
      </c>
      <c r="K269" s="4" t="s">
        <v>80</v>
      </c>
      <c r="L269" s="4" t="s">
        <v>81</v>
      </c>
      <c r="BC269" s="5">
        <v>0.0</v>
      </c>
      <c r="BD269" s="5">
        <v>0.0</v>
      </c>
      <c r="BE269" s="5">
        <v>0.0</v>
      </c>
      <c r="BF269" s="5">
        <v>0.0</v>
      </c>
      <c r="BG269" s="5">
        <v>0.0</v>
      </c>
      <c r="BH269" s="5">
        <v>0.0</v>
      </c>
      <c r="BI269" s="5">
        <v>0.0</v>
      </c>
      <c r="BJ269" s="5">
        <v>0.0</v>
      </c>
    </row>
    <row r="270" ht="15.75" customHeight="1">
      <c r="A270" s="4" t="str">
        <f t="shared" si="1"/>
        <v>Liabilities|Portfolio investment, Debt securities, Long-term, Positions, Derived using counterparty information|Indonesia|Half-yearly, semester</v>
      </c>
      <c r="B270" s="4" t="s">
        <v>72</v>
      </c>
      <c r="C270" s="4" t="s">
        <v>556</v>
      </c>
      <c r="D270" s="4" t="s">
        <v>74</v>
      </c>
      <c r="E270" s="4" t="s">
        <v>75</v>
      </c>
      <c r="F270" s="4" t="s">
        <v>76</v>
      </c>
      <c r="G270" s="4" t="s">
        <v>549</v>
      </c>
      <c r="H270" s="4" t="s">
        <v>78</v>
      </c>
      <c r="I270" s="4" t="s">
        <v>78</v>
      </c>
      <c r="J270" s="4" t="s">
        <v>119</v>
      </c>
      <c r="K270" s="4" t="s">
        <v>80</v>
      </c>
      <c r="L270" s="4" t="s">
        <v>81</v>
      </c>
      <c r="N270" s="5">
        <v>0.0</v>
      </c>
      <c r="AD270" s="5">
        <v>85.0864699898271</v>
      </c>
      <c r="AN270" s="5">
        <v>4.0909687414223</v>
      </c>
      <c r="AP270" s="5">
        <v>0.0</v>
      </c>
      <c r="AR270" s="5">
        <v>0.0</v>
      </c>
      <c r="AS270" s="5">
        <v>0.0</v>
      </c>
      <c r="AT270" s="5">
        <v>0.0</v>
      </c>
      <c r="AU270" s="5">
        <v>0.0</v>
      </c>
      <c r="AW270" s="5">
        <v>0.0</v>
      </c>
      <c r="AX270" s="5">
        <v>0.214975181515042</v>
      </c>
      <c r="AY270" s="5">
        <v>0.0</v>
      </c>
      <c r="AZ270" s="5">
        <v>0.0</v>
      </c>
      <c r="BA270" s="5">
        <v>0.0</v>
      </c>
      <c r="BB270" s="5">
        <v>0.0</v>
      </c>
      <c r="BC270" s="5">
        <v>0.0</v>
      </c>
      <c r="BD270" s="5">
        <v>0.0</v>
      </c>
      <c r="BE270" s="5">
        <v>0.0</v>
      </c>
      <c r="BG270" s="5">
        <v>0.0</v>
      </c>
    </row>
    <row r="271" ht="15.75" customHeight="1">
      <c r="A271" s="4" t="str">
        <f t="shared" si="1"/>
        <v>Liabilities|Portfolio investment, Debt securities, Long-term, Positions, Derived using counterparty information|Curaçao and Sint Maarten|Half-yearly, semester</v>
      </c>
      <c r="B271" s="4" t="s">
        <v>72</v>
      </c>
      <c r="C271" s="4" t="s">
        <v>557</v>
      </c>
      <c r="D271" s="4" t="s">
        <v>74</v>
      </c>
      <c r="E271" s="4" t="s">
        <v>75</v>
      </c>
      <c r="F271" s="4" t="s">
        <v>76</v>
      </c>
      <c r="G271" s="4" t="s">
        <v>549</v>
      </c>
      <c r="H271" s="4" t="s">
        <v>78</v>
      </c>
      <c r="I271" s="4" t="s">
        <v>78</v>
      </c>
      <c r="J271" s="4" t="s">
        <v>558</v>
      </c>
      <c r="K271" s="4" t="s">
        <v>80</v>
      </c>
      <c r="L271" s="4" t="s">
        <v>81</v>
      </c>
      <c r="AN271" s="5">
        <v>0.392178770949721</v>
      </c>
      <c r="AT271" s="5">
        <v>17.902</v>
      </c>
      <c r="AV271" s="5">
        <v>24.89</v>
      </c>
      <c r="AX271" s="5">
        <v>50.926</v>
      </c>
      <c r="AZ271" s="5">
        <v>8.1</v>
      </c>
      <c r="BB271" s="5">
        <v>3.05</v>
      </c>
      <c r="BD271" s="5">
        <v>0.0</v>
      </c>
      <c r="BF271" s="5">
        <v>0.0</v>
      </c>
      <c r="BH271" s="5">
        <v>-0.41746</v>
      </c>
      <c r="BJ271" s="5">
        <v>-0.20646</v>
      </c>
      <c r="BL271" s="5">
        <v>0.0</v>
      </c>
      <c r="BN271" s="5">
        <v>0.0</v>
      </c>
    </row>
    <row r="272" ht="15.75" customHeight="1">
      <c r="A272" s="4" t="str">
        <f t="shared" si="1"/>
        <v>Liabilities|Portfolio investment, Debt securities, Long-term, Positions, Derived using counterparty information|Uruguay|Half-yearly, semester</v>
      </c>
      <c r="B272" s="4" t="s">
        <v>72</v>
      </c>
      <c r="C272" s="4" t="s">
        <v>559</v>
      </c>
      <c r="D272" s="4" t="s">
        <v>74</v>
      </c>
      <c r="E272" s="4" t="s">
        <v>75</v>
      </c>
      <c r="F272" s="4" t="s">
        <v>76</v>
      </c>
      <c r="G272" s="4" t="s">
        <v>549</v>
      </c>
      <c r="H272" s="4" t="s">
        <v>78</v>
      </c>
      <c r="I272" s="4" t="s">
        <v>78</v>
      </c>
      <c r="J272" s="4" t="s">
        <v>202</v>
      </c>
      <c r="K272" s="4" t="s">
        <v>80</v>
      </c>
      <c r="L272" s="4" t="s">
        <v>81</v>
      </c>
      <c r="V272" s="5">
        <v>0.0</v>
      </c>
      <c r="X272" s="5">
        <v>0.0</v>
      </c>
      <c r="Z272" s="5">
        <v>0.0</v>
      </c>
      <c r="AB272" s="5">
        <v>0.0</v>
      </c>
      <c r="AF272" s="5">
        <v>0.0</v>
      </c>
      <c r="AL272" s="5">
        <v>0.0</v>
      </c>
      <c r="AN272" s="5">
        <v>0.0166402</v>
      </c>
      <c r="AP272" s="5">
        <v>0.0484901350968705</v>
      </c>
      <c r="AR272" s="5">
        <v>0.0</v>
      </c>
      <c r="AT272" s="5">
        <v>0.0</v>
      </c>
      <c r="AV272" s="5">
        <v>0.0</v>
      </c>
      <c r="AX272" s="5">
        <v>0.0</v>
      </c>
      <c r="AZ272" s="5">
        <v>0.0</v>
      </c>
      <c r="BB272" s="5">
        <v>0.0</v>
      </c>
      <c r="BD272" s="5">
        <v>0.0</v>
      </c>
      <c r="BF272" s="5">
        <v>0.0</v>
      </c>
      <c r="BP272" s="5">
        <v>0.0</v>
      </c>
    </row>
    <row r="273" ht="15.75" customHeight="1">
      <c r="A273" s="4" t="str">
        <f t="shared" si="1"/>
        <v>Liabilities|Portfolio investment, Debt securities, Long-term, Positions, Derived using counterparty information|Egypt, Arab Republic of|Half-yearly, semester</v>
      </c>
      <c r="B273" s="4" t="s">
        <v>72</v>
      </c>
      <c r="C273" s="4" t="s">
        <v>560</v>
      </c>
      <c r="D273" s="4" t="s">
        <v>74</v>
      </c>
      <c r="E273" s="4" t="s">
        <v>75</v>
      </c>
      <c r="F273" s="4" t="s">
        <v>76</v>
      </c>
      <c r="G273" s="4" t="s">
        <v>549</v>
      </c>
      <c r="H273" s="4" t="s">
        <v>78</v>
      </c>
      <c r="I273" s="4" t="s">
        <v>78</v>
      </c>
      <c r="J273" s="4" t="s">
        <v>195</v>
      </c>
      <c r="K273" s="4" t="s">
        <v>80</v>
      </c>
      <c r="L273" s="4" t="s">
        <v>81</v>
      </c>
      <c r="V273" s="5">
        <v>2.0</v>
      </c>
      <c r="AD273" s="5">
        <v>2.0</v>
      </c>
      <c r="AF273" s="5">
        <v>2.0</v>
      </c>
      <c r="AJ273" s="5">
        <v>1.9</v>
      </c>
      <c r="AL273" s="5">
        <v>2.0</v>
      </c>
      <c r="AN273" s="5">
        <v>0.0</v>
      </c>
      <c r="AP273" s="5">
        <v>0.0</v>
      </c>
      <c r="AV273" s="5">
        <v>0.0</v>
      </c>
      <c r="AX273" s="5">
        <v>0.0</v>
      </c>
      <c r="AY273" s="5">
        <v>0.0</v>
      </c>
    </row>
    <row r="274" ht="15.75" customHeight="1">
      <c r="A274" s="4" t="str">
        <f t="shared" si="1"/>
        <v>Liabilities|Portfolio investment, Debt securities, Long-term, Positions, Derived using counterparty information|Gibraltar|Half-yearly, semester</v>
      </c>
      <c r="B274" s="4" t="s">
        <v>72</v>
      </c>
      <c r="C274" s="4" t="s">
        <v>561</v>
      </c>
      <c r="D274" s="4" t="s">
        <v>74</v>
      </c>
      <c r="E274" s="4" t="s">
        <v>75</v>
      </c>
      <c r="F274" s="4" t="s">
        <v>76</v>
      </c>
      <c r="G274" s="4" t="s">
        <v>549</v>
      </c>
      <c r="H274" s="4" t="s">
        <v>78</v>
      </c>
      <c r="I274" s="4" t="s">
        <v>78</v>
      </c>
      <c r="J274" s="4" t="s">
        <v>95</v>
      </c>
      <c r="K274" s="4" t="s">
        <v>80</v>
      </c>
      <c r="L274" s="4" t="s">
        <v>81</v>
      </c>
      <c r="AD274" s="5">
        <v>1.7219</v>
      </c>
      <c r="AJ274" s="5">
        <v>18.9514</v>
      </c>
      <c r="AR274" s="5">
        <v>4.734</v>
      </c>
      <c r="AV274" s="5">
        <v>3.1216</v>
      </c>
      <c r="AX274" s="5">
        <v>1.4819</v>
      </c>
      <c r="AZ274" s="5">
        <v>1.2302</v>
      </c>
      <c r="BB274" s="5">
        <v>0.0945805</v>
      </c>
      <c r="BC274" s="5">
        <v>10.5116</v>
      </c>
      <c r="BD274" s="5">
        <v>1.01564</v>
      </c>
      <c r="BE274" s="5">
        <v>7.6125</v>
      </c>
      <c r="BF274" s="5">
        <v>7.3349185</v>
      </c>
      <c r="BH274" s="5">
        <v>1.342</v>
      </c>
      <c r="BI274" s="5">
        <v>0.69315</v>
      </c>
      <c r="BJ274" s="5">
        <v>0.550794</v>
      </c>
      <c r="BK274" s="5">
        <v>0.544905</v>
      </c>
      <c r="BL274" s="5">
        <v>0.6034</v>
      </c>
      <c r="BM274" s="5">
        <v>0.670291</v>
      </c>
      <c r="BP274" s="5">
        <v>1.25455</v>
      </c>
      <c r="BQ274" s="5">
        <v>1.37025</v>
      </c>
    </row>
    <row r="275" ht="15.75" customHeight="1">
      <c r="A275" s="4" t="str">
        <f t="shared" si="1"/>
        <v>Liabilities|Portfolio investment, Debt securities, Long-term, Positions, Derived using counterparty information|Bahamas, The|Half-yearly, semester</v>
      </c>
      <c r="B275" s="4" t="s">
        <v>72</v>
      </c>
      <c r="C275" s="4" t="s">
        <v>562</v>
      </c>
      <c r="D275" s="4" t="s">
        <v>74</v>
      </c>
      <c r="E275" s="4" t="s">
        <v>75</v>
      </c>
      <c r="F275" s="4" t="s">
        <v>76</v>
      </c>
      <c r="G275" s="4" t="s">
        <v>549</v>
      </c>
      <c r="H275" s="4" t="s">
        <v>78</v>
      </c>
      <c r="I275" s="4" t="s">
        <v>78</v>
      </c>
      <c r="J275" s="4" t="s">
        <v>151</v>
      </c>
      <c r="K275" s="4" t="s">
        <v>80</v>
      </c>
      <c r="L275" s="4" t="s">
        <v>81</v>
      </c>
      <c r="V275" s="5">
        <v>41.0</v>
      </c>
      <c r="X275" s="5">
        <v>27.0</v>
      </c>
      <c r="AB275" s="5">
        <v>0.0</v>
      </c>
      <c r="AD275" s="5">
        <v>0.0</v>
      </c>
      <c r="AH275" s="5">
        <v>10.0</v>
      </c>
      <c r="AJ275" s="5">
        <v>10.0</v>
      </c>
      <c r="AL275" s="5">
        <v>10.0</v>
      </c>
      <c r="AP275" s="5">
        <v>10.0</v>
      </c>
      <c r="BC275" s="5">
        <v>0.0</v>
      </c>
      <c r="BD275" s="5">
        <v>0.0</v>
      </c>
      <c r="BE275" s="5">
        <v>0.0</v>
      </c>
      <c r="BF275" s="5">
        <v>0.0</v>
      </c>
      <c r="BG275" s="5">
        <v>0.0</v>
      </c>
      <c r="BH275" s="5">
        <v>0.0</v>
      </c>
      <c r="BI275" s="5">
        <v>0.0</v>
      </c>
      <c r="BJ275" s="5">
        <v>1.0</v>
      </c>
      <c r="BK275" s="5">
        <v>0.0</v>
      </c>
      <c r="BL275" s="5">
        <v>0.0</v>
      </c>
      <c r="BM275" s="5">
        <v>1.0</v>
      </c>
      <c r="BN275" s="5">
        <v>1.0</v>
      </c>
      <c r="BO275" s="5">
        <v>1.0</v>
      </c>
      <c r="BP275" s="5">
        <v>1.0</v>
      </c>
      <c r="BQ275" s="5">
        <v>1.0</v>
      </c>
    </row>
    <row r="276" ht="15.75" customHeight="1">
      <c r="A276" s="4" t="str">
        <f t="shared" si="1"/>
        <v>Liabilities|Portfolio investment, Debt securities, Long-term, Positions, Derived using counterparty information|Norway|Half-yearly, semester</v>
      </c>
      <c r="B276" s="4" t="s">
        <v>72</v>
      </c>
      <c r="C276" s="4" t="s">
        <v>563</v>
      </c>
      <c r="D276" s="4" t="s">
        <v>74</v>
      </c>
      <c r="E276" s="4" t="s">
        <v>75</v>
      </c>
      <c r="F276" s="4" t="s">
        <v>76</v>
      </c>
      <c r="G276" s="4" t="s">
        <v>549</v>
      </c>
      <c r="H276" s="4" t="s">
        <v>78</v>
      </c>
      <c r="I276" s="4" t="s">
        <v>78</v>
      </c>
      <c r="J276" s="4" t="s">
        <v>564</v>
      </c>
      <c r="K276" s="4" t="s">
        <v>80</v>
      </c>
      <c r="L276" s="4" t="s">
        <v>81</v>
      </c>
      <c r="N276" s="5">
        <v>0.0</v>
      </c>
      <c r="V276" s="5">
        <v>7.83001908651072</v>
      </c>
      <c r="X276" s="5">
        <v>187.462710136813</v>
      </c>
      <c r="Z276" s="5">
        <v>245.536976047904</v>
      </c>
      <c r="AB276" s="5">
        <v>344.666390728477</v>
      </c>
      <c r="AD276" s="5">
        <v>262.038404726736</v>
      </c>
      <c r="AF276" s="5">
        <v>135.143769968051</v>
      </c>
      <c r="AH276" s="5">
        <v>149.907578558226</v>
      </c>
      <c r="AJ276" s="5">
        <v>167.428571428571</v>
      </c>
      <c r="AL276" s="5">
        <v>202.941176470588</v>
      </c>
      <c r="AN276" s="5">
        <v>461.262798634812</v>
      </c>
      <c r="AP276" s="5">
        <v>255.75959933222</v>
      </c>
      <c r="AR276" s="5">
        <v>893.536804308797</v>
      </c>
      <c r="AT276" s="5">
        <v>1353.94736842105</v>
      </c>
      <c r="AV276" s="5">
        <v>1290.7133243607</v>
      </c>
      <c r="AX276" s="5">
        <v>1018.72871736663</v>
      </c>
      <c r="AZ276" s="5">
        <v>1168.90951276102</v>
      </c>
      <c r="BB276" s="5">
        <v>1341.41291108404</v>
      </c>
      <c r="BC276" s="5">
        <v>1431.37254901961</v>
      </c>
      <c r="BD276" s="5">
        <v>1616.57077100115</v>
      </c>
      <c r="BE276" s="5">
        <v>1249.29577464789</v>
      </c>
      <c r="BF276" s="5">
        <v>1749.20273348519</v>
      </c>
      <c r="BG276" s="5">
        <v>1677.6180698152</v>
      </c>
      <c r="BH276" s="5">
        <v>1751.4654161782</v>
      </c>
      <c r="BI276" s="5">
        <v>2157.59345794393</v>
      </c>
      <c r="BJ276" s="5">
        <v>2352.94784580499</v>
      </c>
      <c r="BK276" s="5">
        <v>2350.80321285141</v>
      </c>
      <c r="BL276" s="5">
        <v>2376.57200811359</v>
      </c>
      <c r="BM276" s="5">
        <v>2961.28133704735</v>
      </c>
      <c r="BN276" s="5">
        <v>3639.62635201573</v>
      </c>
      <c r="BO276" s="5">
        <v>3845.07042253521</v>
      </c>
      <c r="BP276" s="5">
        <v>4003.34801762115</v>
      </c>
    </row>
    <row r="277" ht="15.75" customHeight="1">
      <c r="A277" s="4" t="str">
        <f t="shared" si="1"/>
        <v>Liabilities|Portfolio investment, Debt securities, Long-term, Positions, Derived using counterparty information|Isle of Man|Half-yearly, semester</v>
      </c>
      <c r="B277" s="4" t="s">
        <v>72</v>
      </c>
      <c r="C277" s="4" t="s">
        <v>565</v>
      </c>
      <c r="D277" s="4" t="s">
        <v>74</v>
      </c>
      <c r="E277" s="4" t="s">
        <v>75</v>
      </c>
      <c r="F277" s="4" t="s">
        <v>76</v>
      </c>
      <c r="G277" s="4" t="s">
        <v>549</v>
      </c>
      <c r="H277" s="4" t="s">
        <v>78</v>
      </c>
      <c r="I277" s="4" t="s">
        <v>78</v>
      </c>
      <c r="J277" s="4" t="s">
        <v>129</v>
      </c>
      <c r="K277" s="4" t="s">
        <v>80</v>
      </c>
      <c r="L277" s="4" t="s">
        <v>81</v>
      </c>
      <c r="V277" s="5">
        <v>52.0703339559723</v>
      </c>
      <c r="X277" s="5">
        <v>1.6150236</v>
      </c>
      <c r="Z277" s="5">
        <v>2.9322621</v>
      </c>
      <c r="AB277" s="5">
        <v>0.1013946372</v>
      </c>
      <c r="AD277" s="5">
        <v>0.206827753423801</v>
      </c>
      <c r="AF277" s="5">
        <v>0.45149</v>
      </c>
      <c r="AH277" s="5">
        <v>0.136986681300539</v>
      </c>
      <c r="AJ277" s="5">
        <v>0.698597941336129</v>
      </c>
      <c r="AL277" s="5">
        <v>0.313017524714617</v>
      </c>
      <c r="AN277" s="5">
        <v>0.460502279061112</v>
      </c>
      <c r="AP277" s="5">
        <v>0.155367604625213</v>
      </c>
      <c r="AR277" s="5">
        <v>0.15857322167601</v>
      </c>
      <c r="AT277" s="5">
        <v>0.539694632651849</v>
      </c>
      <c r="AV277" s="5">
        <v>0.0</v>
      </c>
      <c r="AX277" s="5">
        <v>0.0</v>
      </c>
      <c r="AZ277" s="5">
        <v>0.191347955093541</v>
      </c>
      <c r="BB277" s="5">
        <v>1.2133327</v>
      </c>
      <c r="BD277" s="5">
        <v>0.0</v>
      </c>
    </row>
    <row r="278" ht="15.75" customHeight="1">
      <c r="A278" s="4" t="str">
        <f t="shared" si="1"/>
        <v>Liabilities|Portfolio investment, Debt securities, Long-term, Positions, Derived using counterparty information|Barbados|Half-yearly, semester</v>
      </c>
      <c r="B278" s="4" t="s">
        <v>72</v>
      </c>
      <c r="C278" s="4" t="s">
        <v>566</v>
      </c>
      <c r="D278" s="4" t="s">
        <v>74</v>
      </c>
      <c r="E278" s="4" t="s">
        <v>75</v>
      </c>
      <c r="F278" s="4" t="s">
        <v>76</v>
      </c>
      <c r="G278" s="4" t="s">
        <v>549</v>
      </c>
      <c r="H278" s="4" t="s">
        <v>78</v>
      </c>
      <c r="I278" s="4" t="s">
        <v>78</v>
      </c>
      <c r="J278" s="4" t="s">
        <v>567</v>
      </c>
      <c r="K278" s="4" t="s">
        <v>80</v>
      </c>
      <c r="L278" s="4" t="s">
        <v>81</v>
      </c>
      <c r="AD278" s="5">
        <v>5.301478</v>
      </c>
      <c r="AL278" s="5">
        <v>0.0</v>
      </c>
      <c r="AN278" s="5">
        <v>1.770551</v>
      </c>
      <c r="AP278" s="5">
        <v>1.4988305</v>
      </c>
      <c r="AR278" s="5">
        <v>0.7939145</v>
      </c>
      <c r="AT278" s="5">
        <v>0.314805</v>
      </c>
      <c r="AV278" s="5">
        <v>0.30829</v>
      </c>
      <c r="AX278" s="5">
        <v>0.0</v>
      </c>
      <c r="BL278" s="5">
        <v>61.3029778338235</v>
      </c>
      <c r="BN278" s="5">
        <v>60.06777684</v>
      </c>
    </row>
    <row r="279" ht="15.75" customHeight="1">
      <c r="A279" s="4" t="str">
        <f t="shared" si="1"/>
        <v>Liabilities|Portfolio investment, Debt securities, Long-term, Positions, Derived using counterparty information|Peru|Half-yearly, semester</v>
      </c>
      <c r="B279" s="4" t="s">
        <v>72</v>
      </c>
      <c r="C279" s="4" t="s">
        <v>568</v>
      </c>
      <c r="D279" s="4" t="s">
        <v>74</v>
      </c>
      <c r="E279" s="4" t="s">
        <v>75</v>
      </c>
      <c r="F279" s="4" t="s">
        <v>76</v>
      </c>
      <c r="G279" s="4" t="s">
        <v>549</v>
      </c>
      <c r="H279" s="4" t="s">
        <v>78</v>
      </c>
      <c r="I279" s="4" t="s">
        <v>78</v>
      </c>
      <c r="J279" s="4" t="s">
        <v>193</v>
      </c>
      <c r="K279" s="4" t="s">
        <v>80</v>
      </c>
      <c r="L279" s="4" t="s">
        <v>81</v>
      </c>
      <c r="AW279" s="5">
        <v>7.87185044703332</v>
      </c>
      <c r="AX279" s="5">
        <v>0.0</v>
      </c>
      <c r="AY279" s="5">
        <v>0.0</v>
      </c>
      <c r="AZ279" s="5">
        <v>0.0</v>
      </c>
      <c r="BA279" s="5">
        <v>0.0</v>
      </c>
      <c r="BB279" s="5">
        <v>0.0</v>
      </c>
    </row>
    <row r="280" ht="15.75" customHeight="1">
      <c r="A280" s="4" t="str">
        <f t="shared" si="1"/>
        <v>Liabilities|Portfolio investment, Debt securities, Long-term, Positions, Derived using counterparty information|Russian Federation|Half-yearly, semester</v>
      </c>
      <c r="B280" s="4" t="s">
        <v>72</v>
      </c>
      <c r="C280" s="4" t="s">
        <v>569</v>
      </c>
      <c r="D280" s="4" t="s">
        <v>74</v>
      </c>
      <c r="E280" s="4" t="s">
        <v>75</v>
      </c>
      <c r="F280" s="4" t="s">
        <v>76</v>
      </c>
      <c r="G280" s="4" t="s">
        <v>549</v>
      </c>
      <c r="H280" s="4" t="s">
        <v>78</v>
      </c>
      <c r="I280" s="4" t="s">
        <v>78</v>
      </c>
      <c r="J280" s="4" t="s">
        <v>111</v>
      </c>
      <c r="K280" s="4" t="s">
        <v>80</v>
      </c>
      <c r="L280" s="4" t="s">
        <v>81</v>
      </c>
      <c r="V280" s="5">
        <v>0.0</v>
      </c>
      <c r="X280" s="5">
        <v>0.0</v>
      </c>
      <c r="Z280" s="5">
        <v>0.0</v>
      </c>
      <c r="AB280" s="5">
        <v>0.0</v>
      </c>
      <c r="AD280" s="5">
        <v>0.0</v>
      </c>
      <c r="AF280" s="5">
        <v>0.0</v>
      </c>
      <c r="AH280" s="5">
        <v>0.0</v>
      </c>
      <c r="AJ280" s="5">
        <v>0.0</v>
      </c>
      <c r="AL280" s="5">
        <v>0.0</v>
      </c>
      <c r="AN280" s="5">
        <v>0.0</v>
      </c>
      <c r="AP280" s="5">
        <v>6.089218282</v>
      </c>
      <c r="AR280" s="5">
        <v>0.0</v>
      </c>
      <c r="AS280" s="5">
        <v>0.0</v>
      </c>
      <c r="AT280" s="5">
        <v>0.0</v>
      </c>
      <c r="AU280" s="5">
        <v>0.0</v>
      </c>
      <c r="AV280" s="5">
        <v>0.0</v>
      </c>
      <c r="AW280" s="5">
        <v>0.0</v>
      </c>
      <c r="AX280" s="5">
        <v>0.0</v>
      </c>
      <c r="AY280" s="5">
        <v>0.0</v>
      </c>
      <c r="BE280" s="5">
        <v>0.293667406711946</v>
      </c>
      <c r="BF280" s="5">
        <v>1.5317952</v>
      </c>
      <c r="BG280" s="5">
        <v>1.5519352</v>
      </c>
      <c r="BH280" s="5">
        <v>1.54744254968</v>
      </c>
      <c r="BI280" s="5">
        <v>1.5351747604</v>
      </c>
    </row>
    <row r="281" ht="15.75" customHeight="1">
      <c r="A281" s="4" t="str">
        <f t="shared" si="1"/>
        <v>Liabilities|Portfolio investment, Debt securities, Positions, Derived using counterparty information|Egypt, Arab Republic of|Half-yearly, semester</v>
      </c>
      <c r="B281" s="4" t="s">
        <v>72</v>
      </c>
      <c r="C281" s="4" t="s">
        <v>570</v>
      </c>
      <c r="D281" s="4" t="s">
        <v>74</v>
      </c>
      <c r="E281" s="4" t="s">
        <v>75</v>
      </c>
      <c r="F281" s="4" t="s">
        <v>76</v>
      </c>
      <c r="G281" s="4" t="s">
        <v>571</v>
      </c>
      <c r="H281" s="4" t="s">
        <v>78</v>
      </c>
      <c r="I281" s="4" t="s">
        <v>78</v>
      </c>
      <c r="J281" s="4" t="s">
        <v>195</v>
      </c>
      <c r="K281" s="4" t="s">
        <v>80</v>
      </c>
      <c r="L281" s="4" t="s">
        <v>81</v>
      </c>
      <c r="V281" s="5">
        <v>5.0</v>
      </c>
      <c r="AD281" s="5">
        <v>2.0</v>
      </c>
      <c r="AF281" s="5">
        <v>2.0</v>
      </c>
      <c r="AJ281" s="5">
        <v>1.9</v>
      </c>
      <c r="AL281" s="5">
        <v>2.0</v>
      </c>
      <c r="AN281" s="5">
        <v>0.0</v>
      </c>
      <c r="AP281" s="5">
        <v>0.0</v>
      </c>
      <c r="AV281" s="5">
        <v>0.0</v>
      </c>
      <c r="AX281" s="5">
        <v>0.0</v>
      </c>
      <c r="AY281" s="5">
        <v>0.0</v>
      </c>
      <c r="BC281" s="5">
        <v>0.1</v>
      </c>
    </row>
    <row r="282" ht="15.75" customHeight="1">
      <c r="A282" s="4" t="str">
        <f t="shared" si="1"/>
        <v>Liabilities|Portfolio investment, Debt securities, Positions, Derived using counterparty information|Bangladesh|Half-yearly, semester</v>
      </c>
      <c r="B282" s="4" t="s">
        <v>72</v>
      </c>
      <c r="C282" s="4" t="s">
        <v>572</v>
      </c>
      <c r="D282" s="4" t="s">
        <v>74</v>
      </c>
      <c r="E282" s="4" t="s">
        <v>75</v>
      </c>
      <c r="F282" s="4" t="s">
        <v>76</v>
      </c>
      <c r="G282" s="4" t="s">
        <v>571</v>
      </c>
      <c r="H282" s="4" t="s">
        <v>78</v>
      </c>
      <c r="I282" s="4" t="s">
        <v>78</v>
      </c>
      <c r="J282" s="4" t="s">
        <v>137</v>
      </c>
      <c r="K282" s="4" t="s">
        <v>80</v>
      </c>
      <c r="L282" s="4" t="s">
        <v>81</v>
      </c>
      <c r="AU282" s="5">
        <v>5.92554424835759</v>
      </c>
      <c r="AV282" s="5">
        <v>4.18091736434148</v>
      </c>
      <c r="AW282" s="5">
        <v>3.91986930658454</v>
      </c>
      <c r="AX282" s="5">
        <v>4.20890111247983</v>
      </c>
      <c r="AY282" s="5">
        <v>8.45543404290407</v>
      </c>
      <c r="AZ282" s="5">
        <v>5.60524310739287</v>
      </c>
      <c r="BA282" s="5">
        <v>6.11684044923746</v>
      </c>
      <c r="BB282" s="5">
        <v>7.54328548972189</v>
      </c>
      <c r="BC282" s="5">
        <v>7.81538966855778</v>
      </c>
      <c r="BD282" s="5">
        <v>8.55876400476758</v>
      </c>
    </row>
    <row r="283" ht="15.75" customHeight="1">
      <c r="A283" s="4" t="str">
        <f t="shared" si="1"/>
        <v>Liabilities|Portfolio investment, Debt securities, Positions, Derived using counterparty information|Vanuatu|Half-yearly, semester</v>
      </c>
      <c r="B283" s="4" t="s">
        <v>72</v>
      </c>
      <c r="C283" s="4" t="s">
        <v>573</v>
      </c>
      <c r="D283" s="4" t="s">
        <v>74</v>
      </c>
      <c r="E283" s="4" t="s">
        <v>75</v>
      </c>
      <c r="F283" s="4" t="s">
        <v>76</v>
      </c>
      <c r="G283" s="4" t="s">
        <v>571</v>
      </c>
      <c r="H283" s="4" t="s">
        <v>78</v>
      </c>
      <c r="I283" s="4" t="s">
        <v>78</v>
      </c>
      <c r="J283" s="4" t="s">
        <v>550</v>
      </c>
      <c r="K283" s="4" t="s">
        <v>80</v>
      </c>
      <c r="L283" s="4" t="s">
        <v>81</v>
      </c>
      <c r="V283" s="5">
        <v>453.97</v>
      </c>
      <c r="X283" s="5">
        <v>2.12</v>
      </c>
      <c r="Z283" s="5">
        <v>6.0</v>
      </c>
      <c r="AF283" s="5">
        <v>10.0</v>
      </c>
    </row>
    <row r="284" ht="15.75" customHeight="1">
      <c r="A284" s="4" t="str">
        <f t="shared" si="1"/>
        <v>Liabilities|Portfolio investment, Debt securities, Positions, Derived using counterparty information|Norway|Half-yearly, semester</v>
      </c>
      <c r="B284" s="4" t="s">
        <v>72</v>
      </c>
      <c r="C284" s="4" t="s">
        <v>574</v>
      </c>
      <c r="D284" s="4" t="s">
        <v>74</v>
      </c>
      <c r="E284" s="4" t="s">
        <v>75</v>
      </c>
      <c r="F284" s="4" t="s">
        <v>76</v>
      </c>
      <c r="G284" s="4" t="s">
        <v>571</v>
      </c>
      <c r="H284" s="4" t="s">
        <v>78</v>
      </c>
      <c r="I284" s="4" t="s">
        <v>78</v>
      </c>
      <c r="J284" s="4" t="s">
        <v>564</v>
      </c>
      <c r="K284" s="4" t="s">
        <v>80</v>
      </c>
      <c r="L284" s="4" t="s">
        <v>81</v>
      </c>
      <c r="N284" s="5">
        <v>0.0</v>
      </c>
      <c r="V284" s="5">
        <v>7.83001908651072</v>
      </c>
      <c r="X284" s="5">
        <v>187.462710136813</v>
      </c>
      <c r="Z284" s="5">
        <v>245.536976047904</v>
      </c>
      <c r="AB284" s="5">
        <v>344.666390728477</v>
      </c>
      <c r="AD284" s="5">
        <v>262.038404726736</v>
      </c>
      <c r="AF284" s="5">
        <v>135.143769968051</v>
      </c>
      <c r="AH284" s="5">
        <v>149.907578558226</v>
      </c>
      <c r="AJ284" s="5">
        <v>167.428571428571</v>
      </c>
      <c r="AL284" s="5">
        <v>202.941176470588</v>
      </c>
      <c r="AN284" s="5">
        <v>461.262798634812</v>
      </c>
      <c r="AP284" s="5">
        <v>255.75959933222</v>
      </c>
      <c r="AR284" s="5">
        <v>893.536804308797</v>
      </c>
      <c r="AT284" s="5">
        <v>1353.94736842105</v>
      </c>
      <c r="AV284" s="5">
        <v>1290.7133243607</v>
      </c>
      <c r="AX284" s="5">
        <v>1018.72871736663</v>
      </c>
      <c r="AZ284" s="5">
        <v>1168.90951276102</v>
      </c>
      <c r="BB284" s="5">
        <v>1341.41291108404</v>
      </c>
      <c r="BC284" s="5">
        <v>1448.89705882353</v>
      </c>
      <c r="BD284" s="5">
        <v>1664.21173762946</v>
      </c>
      <c r="BE284" s="5">
        <v>1255.39906103286</v>
      </c>
      <c r="BF284" s="5">
        <v>1781.09339407745</v>
      </c>
      <c r="BG284" s="5">
        <v>1686.65297741273</v>
      </c>
      <c r="BH284" s="5">
        <v>1811.84056271981</v>
      </c>
      <c r="BI284" s="5">
        <v>2203.73831775701</v>
      </c>
      <c r="BJ284" s="5">
        <v>2598.86621315193</v>
      </c>
      <c r="BK284" s="5">
        <v>2521.4859437751</v>
      </c>
      <c r="BL284" s="5">
        <v>2636.10547667343</v>
      </c>
      <c r="BM284" s="5">
        <v>3135.46889507892</v>
      </c>
      <c r="BN284" s="5">
        <v>3865.3883972468</v>
      </c>
      <c r="BO284" s="5">
        <v>3949.3896713615</v>
      </c>
      <c r="BP284" s="5">
        <v>4246.69603524229</v>
      </c>
    </row>
    <row r="285" ht="15.75" customHeight="1">
      <c r="A285" s="4" t="str">
        <f t="shared" si="1"/>
        <v>Liabilities|Portfolio investment, Debt securities, Positions, Derived using counterparty information|Gibraltar|Half-yearly, semester</v>
      </c>
      <c r="B285" s="4" t="s">
        <v>72</v>
      </c>
      <c r="C285" s="4" t="s">
        <v>575</v>
      </c>
      <c r="D285" s="4" t="s">
        <v>74</v>
      </c>
      <c r="E285" s="4" t="s">
        <v>75</v>
      </c>
      <c r="F285" s="4" t="s">
        <v>76</v>
      </c>
      <c r="G285" s="4" t="s">
        <v>571</v>
      </c>
      <c r="H285" s="4" t="s">
        <v>78</v>
      </c>
      <c r="I285" s="4" t="s">
        <v>78</v>
      </c>
      <c r="J285" s="4" t="s">
        <v>95</v>
      </c>
      <c r="K285" s="4" t="s">
        <v>80</v>
      </c>
      <c r="L285" s="4" t="s">
        <v>81</v>
      </c>
      <c r="AD285" s="5">
        <v>1.7219</v>
      </c>
      <c r="AJ285" s="5">
        <v>18.9514</v>
      </c>
      <c r="AL285" s="5">
        <v>21.0535</v>
      </c>
      <c r="AR285" s="5">
        <v>6.31200000000001</v>
      </c>
      <c r="AV285" s="5">
        <v>28.0944</v>
      </c>
      <c r="AX285" s="5">
        <v>1.4819</v>
      </c>
      <c r="AZ285" s="5">
        <v>20.9134</v>
      </c>
      <c r="BB285" s="5">
        <v>0.0945805</v>
      </c>
      <c r="BC285" s="5">
        <v>13.1395</v>
      </c>
      <c r="BD285" s="5">
        <v>8.63294</v>
      </c>
      <c r="BE285" s="5">
        <v>11.41875</v>
      </c>
      <c r="BF285" s="5">
        <v>7.3349185</v>
      </c>
      <c r="BG285" s="5">
        <v>1.22705</v>
      </c>
      <c r="BH285" s="5">
        <v>1.342</v>
      </c>
      <c r="BI285" s="5">
        <v>0.69315</v>
      </c>
      <c r="BJ285" s="5">
        <v>0.698568</v>
      </c>
      <c r="BK285" s="5">
        <v>0.678104</v>
      </c>
      <c r="BL285" s="5">
        <v>0.72408</v>
      </c>
      <c r="BM285" s="5">
        <v>0.999113</v>
      </c>
      <c r="BP285" s="5">
        <v>1.25455</v>
      </c>
      <c r="BQ285" s="5">
        <v>1.37025</v>
      </c>
    </row>
    <row r="286" ht="15.75" customHeight="1">
      <c r="A286" s="4" t="str">
        <f t="shared" si="1"/>
        <v>Liabilities|Portfolio investment, Debt securities, Positions, Derived using counterparty information|Kuwait|Half-yearly, semester</v>
      </c>
      <c r="B286" s="4" t="s">
        <v>72</v>
      </c>
      <c r="C286" s="4" t="s">
        <v>576</v>
      </c>
      <c r="D286" s="4" t="s">
        <v>74</v>
      </c>
      <c r="E286" s="4" t="s">
        <v>75</v>
      </c>
      <c r="F286" s="4" t="s">
        <v>76</v>
      </c>
      <c r="G286" s="4" t="s">
        <v>571</v>
      </c>
      <c r="H286" s="4" t="s">
        <v>78</v>
      </c>
      <c r="I286" s="4" t="s">
        <v>78</v>
      </c>
      <c r="J286" s="4" t="s">
        <v>506</v>
      </c>
      <c r="K286" s="4" t="s">
        <v>80</v>
      </c>
      <c r="L286" s="4" t="s">
        <v>81</v>
      </c>
      <c r="AH286" s="5">
        <v>0.0</v>
      </c>
      <c r="AJ286" s="5">
        <v>0.0</v>
      </c>
      <c r="AL286" s="5">
        <v>0.0</v>
      </c>
    </row>
    <row r="287" ht="15.75" customHeight="1">
      <c r="A287" s="4" t="str">
        <f t="shared" si="1"/>
        <v>Liabilities|Portfolio investment, Debt securities, Positions, Derived using counterparty information|West Bank and Gaza|Half-yearly, semester</v>
      </c>
      <c r="B287" s="4" t="s">
        <v>72</v>
      </c>
      <c r="C287" s="4" t="s">
        <v>577</v>
      </c>
      <c r="D287" s="4" t="s">
        <v>74</v>
      </c>
      <c r="E287" s="4" t="s">
        <v>75</v>
      </c>
      <c r="F287" s="4" t="s">
        <v>76</v>
      </c>
      <c r="G287" s="4" t="s">
        <v>571</v>
      </c>
      <c r="H287" s="4" t="s">
        <v>78</v>
      </c>
      <c r="I287" s="4" t="s">
        <v>78</v>
      </c>
      <c r="J287" s="4" t="s">
        <v>331</v>
      </c>
      <c r="K287" s="4" t="s">
        <v>80</v>
      </c>
      <c r="L287" s="4" t="s">
        <v>81</v>
      </c>
      <c r="BC287" s="5">
        <v>0.0</v>
      </c>
      <c r="BD287" s="5">
        <v>0.0</v>
      </c>
      <c r="BE287" s="5">
        <v>0.0</v>
      </c>
      <c r="BF287" s="5">
        <v>0.0</v>
      </c>
      <c r="BG287" s="5">
        <v>0.0</v>
      </c>
      <c r="BH287" s="5">
        <v>0.0</v>
      </c>
      <c r="BI287" s="5">
        <v>0.0</v>
      </c>
      <c r="BJ287" s="5">
        <v>0.0</v>
      </c>
    </row>
    <row r="288" ht="15.75" customHeight="1">
      <c r="A288" s="4" t="str">
        <f t="shared" si="1"/>
        <v>Liabilities|Portfolio investment, Debt securities, Positions, Derived using counterparty information|Bahamas, The|Half-yearly, semester</v>
      </c>
      <c r="B288" s="4" t="s">
        <v>72</v>
      </c>
      <c r="C288" s="4" t="s">
        <v>578</v>
      </c>
      <c r="D288" s="4" t="s">
        <v>74</v>
      </c>
      <c r="E288" s="4" t="s">
        <v>75</v>
      </c>
      <c r="F288" s="4" t="s">
        <v>76</v>
      </c>
      <c r="G288" s="4" t="s">
        <v>571</v>
      </c>
      <c r="H288" s="4" t="s">
        <v>78</v>
      </c>
      <c r="I288" s="4" t="s">
        <v>78</v>
      </c>
      <c r="J288" s="4" t="s">
        <v>151</v>
      </c>
      <c r="K288" s="4" t="s">
        <v>80</v>
      </c>
      <c r="L288" s="4" t="s">
        <v>81</v>
      </c>
      <c r="V288" s="5">
        <v>183.0</v>
      </c>
      <c r="X288" s="5">
        <v>27.0</v>
      </c>
      <c r="AB288" s="5">
        <v>0.0</v>
      </c>
      <c r="AD288" s="5">
        <v>0.0</v>
      </c>
      <c r="AH288" s="5">
        <v>10.0</v>
      </c>
      <c r="AJ288" s="5">
        <v>10.0</v>
      </c>
      <c r="AL288" s="5">
        <v>10.0</v>
      </c>
      <c r="AP288" s="5">
        <v>10.0</v>
      </c>
      <c r="BC288" s="5">
        <v>0.0</v>
      </c>
      <c r="BD288" s="5">
        <v>0.0</v>
      </c>
      <c r="BE288" s="5">
        <v>0.0</v>
      </c>
      <c r="BF288" s="5">
        <v>0.0</v>
      </c>
      <c r="BG288" s="5">
        <v>0.0</v>
      </c>
      <c r="BH288" s="5">
        <v>0.0</v>
      </c>
      <c r="BI288" s="5">
        <v>0.0</v>
      </c>
      <c r="BJ288" s="5">
        <v>1.0</v>
      </c>
      <c r="BK288" s="5">
        <v>1.5</v>
      </c>
      <c r="BL288" s="5">
        <v>1.5</v>
      </c>
      <c r="BM288" s="5">
        <v>1.5</v>
      </c>
      <c r="BN288" s="5">
        <v>1.5</v>
      </c>
      <c r="BO288" s="5">
        <v>1.5</v>
      </c>
      <c r="BP288" s="5">
        <v>1.5</v>
      </c>
      <c r="BQ288" s="5">
        <v>1.0</v>
      </c>
    </row>
    <row r="289" ht="15.75" customHeight="1">
      <c r="A289" s="4" t="str">
        <f t="shared" si="1"/>
        <v>Liabilities|Portfolio investment, Debt securities, Positions, Derived using counterparty information|Indonesia|Half-yearly, semester</v>
      </c>
      <c r="B289" s="4" t="s">
        <v>72</v>
      </c>
      <c r="C289" s="4" t="s">
        <v>580</v>
      </c>
      <c r="D289" s="4" t="s">
        <v>74</v>
      </c>
      <c r="E289" s="4" t="s">
        <v>75</v>
      </c>
      <c r="F289" s="4" t="s">
        <v>76</v>
      </c>
      <c r="G289" s="4" t="s">
        <v>571</v>
      </c>
      <c r="H289" s="4" t="s">
        <v>78</v>
      </c>
      <c r="I289" s="4" t="s">
        <v>78</v>
      </c>
      <c r="J289" s="4" t="s">
        <v>119</v>
      </c>
      <c r="K289" s="4" t="s">
        <v>80</v>
      </c>
      <c r="L289" s="4" t="s">
        <v>81</v>
      </c>
      <c r="N289" s="5">
        <v>0.0</v>
      </c>
      <c r="AD289" s="5">
        <v>85.0864699898271</v>
      </c>
      <c r="AL289" s="5">
        <v>0.0</v>
      </c>
      <c r="AN289" s="5">
        <v>4.30039298866955</v>
      </c>
      <c r="AP289" s="5">
        <v>0.163341973092192</v>
      </c>
      <c r="AR289" s="5">
        <v>0.0</v>
      </c>
      <c r="AS289" s="5">
        <v>0.0524361470440125</v>
      </c>
      <c r="AT289" s="5">
        <v>0.52896645910247</v>
      </c>
      <c r="AU289" s="5">
        <v>0.158820867407469</v>
      </c>
      <c r="AW289" s="5">
        <v>0.94238976170117</v>
      </c>
      <c r="AX289" s="5">
        <v>0.214975181515042</v>
      </c>
      <c r="AY289" s="5">
        <v>0.405105844708119</v>
      </c>
      <c r="AZ289" s="5">
        <v>0.0</v>
      </c>
      <c r="BA289" s="5">
        <v>0.0399131557924769</v>
      </c>
      <c r="BB289" s="5">
        <v>0.182641703277237</v>
      </c>
      <c r="BC289" s="5">
        <v>0.0</v>
      </c>
      <c r="BD289" s="5">
        <v>0.0</v>
      </c>
      <c r="BE289" s="5">
        <v>0.0799008181882469</v>
      </c>
      <c r="BG289" s="5">
        <v>0.168247592784226</v>
      </c>
    </row>
    <row r="290" ht="15.75" customHeight="1">
      <c r="A290" s="4" t="str">
        <f t="shared" si="1"/>
        <v>Liabilities|Portfolio investment, Debt securities, Positions, Derived using counterparty information|Venezuela, República Bolivariana de|Half-yearly, semester</v>
      </c>
      <c r="B290" s="4" t="s">
        <v>72</v>
      </c>
      <c r="C290" s="4" t="s">
        <v>581</v>
      </c>
      <c r="D290" s="4" t="s">
        <v>74</v>
      </c>
      <c r="E290" s="4" t="s">
        <v>75</v>
      </c>
      <c r="F290" s="4" t="s">
        <v>76</v>
      </c>
      <c r="G290" s="4" t="s">
        <v>571</v>
      </c>
      <c r="H290" s="4" t="s">
        <v>78</v>
      </c>
      <c r="I290" s="4" t="s">
        <v>78</v>
      </c>
      <c r="J290" s="4" t="s">
        <v>133</v>
      </c>
      <c r="K290" s="4" t="s">
        <v>80</v>
      </c>
      <c r="L290" s="4" t="s">
        <v>81</v>
      </c>
      <c r="N290" s="5">
        <v>0.0</v>
      </c>
      <c r="Z290" s="5">
        <v>0.0</v>
      </c>
      <c r="AB290" s="5">
        <v>0.0</v>
      </c>
      <c r="AH290" s="5">
        <v>0.0</v>
      </c>
      <c r="AJ290" s="5">
        <v>0.0</v>
      </c>
      <c r="AL290" s="5">
        <v>0.0</v>
      </c>
      <c r="AN290" s="5">
        <v>0.0</v>
      </c>
      <c r="AP290" s="5">
        <v>0.0</v>
      </c>
    </row>
    <row r="291" ht="15.75" customHeight="1">
      <c r="A291" s="4" t="str">
        <f t="shared" si="1"/>
        <v>Liabilities|Portfolio investment, Debt securities, Positions, Derived using counterparty information|Russian Federation|Half-yearly, semester</v>
      </c>
      <c r="B291" s="4" t="s">
        <v>72</v>
      </c>
      <c r="C291" s="4" t="s">
        <v>582</v>
      </c>
      <c r="D291" s="4" t="s">
        <v>74</v>
      </c>
      <c r="E291" s="4" t="s">
        <v>75</v>
      </c>
      <c r="F291" s="4" t="s">
        <v>76</v>
      </c>
      <c r="G291" s="4" t="s">
        <v>571</v>
      </c>
      <c r="H291" s="4" t="s">
        <v>78</v>
      </c>
      <c r="I291" s="4" t="s">
        <v>78</v>
      </c>
      <c r="J291" s="4" t="s">
        <v>111</v>
      </c>
      <c r="K291" s="4" t="s">
        <v>80</v>
      </c>
      <c r="L291" s="4" t="s">
        <v>81</v>
      </c>
      <c r="V291" s="5">
        <v>0.0</v>
      </c>
      <c r="X291" s="5">
        <v>0.0</v>
      </c>
      <c r="Z291" s="5">
        <v>0.0</v>
      </c>
      <c r="AB291" s="5">
        <v>0.0</v>
      </c>
      <c r="AD291" s="5">
        <v>0.0</v>
      </c>
      <c r="AF291" s="5">
        <v>0.0</v>
      </c>
      <c r="AH291" s="5">
        <v>0.0</v>
      </c>
      <c r="AJ291" s="5">
        <v>0.0</v>
      </c>
      <c r="AL291" s="5">
        <v>0.0</v>
      </c>
      <c r="AN291" s="5">
        <v>0.0</v>
      </c>
      <c r="AP291" s="5">
        <v>11.722243582</v>
      </c>
      <c r="AR291" s="5">
        <v>0.0</v>
      </c>
      <c r="AS291" s="5">
        <v>0.0</v>
      </c>
      <c r="AT291" s="5">
        <v>0.0</v>
      </c>
      <c r="AU291" s="5">
        <v>0.0</v>
      </c>
      <c r="AV291" s="5">
        <v>0.0</v>
      </c>
      <c r="AW291" s="5">
        <v>0.0</v>
      </c>
      <c r="AX291" s="5">
        <v>0.0</v>
      </c>
      <c r="AY291" s="5">
        <v>0.0</v>
      </c>
      <c r="BE291" s="5">
        <v>0.293667406711946</v>
      </c>
      <c r="BF291" s="5">
        <v>1.5317952</v>
      </c>
      <c r="BG291" s="5">
        <v>1.5519352</v>
      </c>
      <c r="BH291" s="5">
        <v>1.54744254968</v>
      </c>
      <c r="BI291" s="5">
        <v>1.5351747604</v>
      </c>
    </row>
    <row r="292" ht="15.75" customHeight="1">
      <c r="A292" s="4" t="str">
        <f t="shared" si="1"/>
        <v>Liabilities|Portfolio investment, Debt securities, Positions, Derived using counterparty information|Curaçao and Sint Maarten|Half-yearly, semester</v>
      </c>
      <c r="B292" s="4" t="s">
        <v>72</v>
      </c>
      <c r="C292" s="4" t="s">
        <v>583</v>
      </c>
      <c r="D292" s="4" t="s">
        <v>74</v>
      </c>
      <c r="E292" s="4" t="s">
        <v>75</v>
      </c>
      <c r="F292" s="4" t="s">
        <v>76</v>
      </c>
      <c r="G292" s="4" t="s">
        <v>571</v>
      </c>
      <c r="H292" s="4" t="s">
        <v>78</v>
      </c>
      <c r="I292" s="4" t="s">
        <v>78</v>
      </c>
      <c r="J292" s="4" t="s">
        <v>558</v>
      </c>
      <c r="K292" s="4" t="s">
        <v>80</v>
      </c>
      <c r="L292" s="4" t="s">
        <v>81</v>
      </c>
      <c r="AN292" s="5">
        <v>0.392178770949721</v>
      </c>
      <c r="AT292" s="5">
        <v>17.902</v>
      </c>
      <c r="AV292" s="5">
        <v>24.89</v>
      </c>
      <c r="AX292" s="5">
        <v>50.926</v>
      </c>
      <c r="AZ292" s="5">
        <v>8.1</v>
      </c>
      <c r="BB292" s="5">
        <v>3.05</v>
      </c>
      <c r="BD292" s="5">
        <v>0.0</v>
      </c>
      <c r="BF292" s="5">
        <v>0.0</v>
      </c>
      <c r="BH292" s="5">
        <v>-0.41746</v>
      </c>
      <c r="BJ292" s="5">
        <v>-0.20646</v>
      </c>
      <c r="BL292" s="5">
        <v>0.0</v>
      </c>
      <c r="BN292" s="5">
        <v>0.0</v>
      </c>
    </row>
    <row r="293" ht="15.75" customHeight="1">
      <c r="A293" s="4" t="str">
        <f t="shared" si="1"/>
        <v>Liabilities|Portfolio investment, Debt securities, Positions, Derived using counterparty information|Bahrain, Kingdom of|Half-yearly, semester</v>
      </c>
      <c r="B293" s="4" t="s">
        <v>72</v>
      </c>
      <c r="C293" s="4" t="s">
        <v>584</v>
      </c>
      <c r="D293" s="4" t="s">
        <v>74</v>
      </c>
      <c r="E293" s="4" t="s">
        <v>75</v>
      </c>
      <c r="F293" s="4" t="s">
        <v>76</v>
      </c>
      <c r="G293" s="4" t="s">
        <v>571</v>
      </c>
      <c r="H293" s="4" t="s">
        <v>78</v>
      </c>
      <c r="I293" s="4" t="s">
        <v>78</v>
      </c>
      <c r="J293" s="4" t="s">
        <v>244</v>
      </c>
      <c r="K293" s="4" t="s">
        <v>80</v>
      </c>
      <c r="L293" s="4" t="s">
        <v>81</v>
      </c>
      <c r="V293" s="5">
        <v>16.8</v>
      </c>
      <c r="AH293" s="5">
        <v>0.0</v>
      </c>
      <c r="AL293" s="5">
        <v>17.0</v>
      </c>
      <c r="AN293" s="5">
        <v>25.0</v>
      </c>
      <c r="AP293" s="5">
        <v>25.1</v>
      </c>
      <c r="AR293" s="5">
        <v>27.7</v>
      </c>
      <c r="AT293" s="5">
        <v>25.9</v>
      </c>
      <c r="AV293" s="5">
        <v>4.68743</v>
      </c>
      <c r="AX293" s="5">
        <v>10.24709</v>
      </c>
      <c r="BB293" s="5">
        <v>12.6</v>
      </c>
      <c r="BD293" s="5">
        <v>13.2942885134844</v>
      </c>
      <c r="BF293" s="5">
        <v>13.7095346711864</v>
      </c>
      <c r="BH293" s="5">
        <v>14.1101178649754</v>
      </c>
      <c r="BJ293" s="5">
        <v>15.2268941422261</v>
      </c>
      <c r="BL293" s="5">
        <v>15.0</v>
      </c>
      <c r="BN293" s="5">
        <v>17.1</v>
      </c>
      <c r="BP293" s="5">
        <v>18.5</v>
      </c>
    </row>
    <row r="294" ht="15.75" customHeight="1">
      <c r="A294" s="4" t="str">
        <f t="shared" si="1"/>
        <v>Liabilities|Portfolio investment, Debt securities, Positions, Derived using counterparty information|Uruguay|Half-yearly, semester</v>
      </c>
      <c r="B294" s="4" t="s">
        <v>72</v>
      </c>
      <c r="C294" s="4" t="s">
        <v>585</v>
      </c>
      <c r="D294" s="4" t="s">
        <v>74</v>
      </c>
      <c r="E294" s="4" t="s">
        <v>75</v>
      </c>
      <c r="F294" s="4" t="s">
        <v>76</v>
      </c>
      <c r="G294" s="4" t="s">
        <v>571</v>
      </c>
      <c r="H294" s="4" t="s">
        <v>78</v>
      </c>
      <c r="I294" s="4" t="s">
        <v>78</v>
      </c>
      <c r="J294" s="4" t="s">
        <v>202</v>
      </c>
      <c r="K294" s="4" t="s">
        <v>80</v>
      </c>
      <c r="L294" s="4" t="s">
        <v>81</v>
      </c>
      <c r="V294" s="5">
        <v>0.0</v>
      </c>
      <c r="X294" s="5">
        <v>0.0</v>
      </c>
      <c r="Z294" s="5">
        <v>0.0</v>
      </c>
      <c r="AB294" s="5">
        <v>0.0</v>
      </c>
      <c r="AF294" s="5">
        <v>0.0</v>
      </c>
      <c r="AH294" s="5">
        <v>0.0</v>
      </c>
      <c r="AL294" s="5">
        <v>0.0</v>
      </c>
      <c r="AN294" s="5">
        <v>0.0166402</v>
      </c>
      <c r="AP294" s="5">
        <v>0.0484901350968705</v>
      </c>
      <c r="AR294" s="5">
        <v>0.0</v>
      </c>
      <c r="AT294" s="5">
        <v>0.0</v>
      </c>
      <c r="AV294" s="5">
        <v>0.0</v>
      </c>
      <c r="AX294" s="5">
        <v>0.0</v>
      </c>
      <c r="AZ294" s="5">
        <v>0.0</v>
      </c>
      <c r="BB294" s="5">
        <v>0.0</v>
      </c>
      <c r="BD294" s="5">
        <v>0.0</v>
      </c>
      <c r="BF294" s="5">
        <v>0.0</v>
      </c>
      <c r="BP294" s="5">
        <v>0.0</v>
      </c>
    </row>
    <row r="295" ht="15.75" customHeight="1">
      <c r="A295" s="4" t="str">
        <f t="shared" si="1"/>
        <v>Liabilities|Portfolio investment, Debt securities, Positions, Derived using counterparty information|Barbados|Half-yearly, semester</v>
      </c>
      <c r="B295" s="4" t="s">
        <v>72</v>
      </c>
      <c r="C295" s="4" t="s">
        <v>586</v>
      </c>
      <c r="D295" s="4" t="s">
        <v>74</v>
      </c>
      <c r="E295" s="4" t="s">
        <v>75</v>
      </c>
      <c r="F295" s="4" t="s">
        <v>76</v>
      </c>
      <c r="G295" s="4" t="s">
        <v>571</v>
      </c>
      <c r="H295" s="4" t="s">
        <v>78</v>
      </c>
      <c r="I295" s="4" t="s">
        <v>78</v>
      </c>
      <c r="J295" s="4" t="s">
        <v>567</v>
      </c>
      <c r="K295" s="4" t="s">
        <v>80</v>
      </c>
      <c r="L295" s="4" t="s">
        <v>81</v>
      </c>
      <c r="Z295" s="5">
        <v>6.54</v>
      </c>
      <c r="AD295" s="5">
        <v>5.301478</v>
      </c>
      <c r="AL295" s="5">
        <v>0.0</v>
      </c>
      <c r="AN295" s="5">
        <v>1.770551</v>
      </c>
      <c r="AP295" s="5">
        <v>1.4988305</v>
      </c>
      <c r="AR295" s="5">
        <v>14.21438122</v>
      </c>
      <c r="AT295" s="5">
        <v>0.314805</v>
      </c>
      <c r="AV295" s="5">
        <v>0.30829</v>
      </c>
      <c r="AX295" s="5">
        <v>0.0</v>
      </c>
      <c r="BL295" s="5">
        <v>61.3180642026575</v>
      </c>
      <c r="BN295" s="5">
        <v>60.08007194</v>
      </c>
    </row>
    <row r="296" ht="15.75" customHeight="1">
      <c r="A296" s="4" t="str">
        <f t="shared" si="1"/>
        <v>Liabilities|Portfolio investment, Debt securities, Positions, Derived using counterparty information|Peru|Half-yearly, semester</v>
      </c>
      <c r="B296" s="4" t="s">
        <v>72</v>
      </c>
      <c r="C296" s="4" t="s">
        <v>587</v>
      </c>
      <c r="D296" s="4" t="s">
        <v>74</v>
      </c>
      <c r="E296" s="4" t="s">
        <v>75</v>
      </c>
      <c r="F296" s="4" t="s">
        <v>76</v>
      </c>
      <c r="G296" s="4" t="s">
        <v>571</v>
      </c>
      <c r="H296" s="4" t="s">
        <v>78</v>
      </c>
      <c r="I296" s="4" t="s">
        <v>78</v>
      </c>
      <c r="J296" s="4" t="s">
        <v>193</v>
      </c>
      <c r="K296" s="4" t="s">
        <v>80</v>
      </c>
      <c r="L296" s="4" t="s">
        <v>81</v>
      </c>
      <c r="AW296" s="5">
        <v>7.87185044703332</v>
      </c>
      <c r="AX296" s="5">
        <v>0.0</v>
      </c>
      <c r="AY296" s="5">
        <v>0.0</v>
      </c>
      <c r="AZ296" s="5">
        <v>0.0</v>
      </c>
      <c r="BA296" s="5">
        <v>3.144</v>
      </c>
      <c r="BB296" s="5">
        <v>0.0</v>
      </c>
    </row>
    <row r="297" ht="15.75" customHeight="1">
      <c r="A297" s="4" t="str">
        <f t="shared" si="1"/>
        <v>Liabilities|Portfolio investment, Debt securities, Positions, Derived using counterparty information|Netherlands Antilles|Half-yearly, semester</v>
      </c>
      <c r="B297" s="4" t="s">
        <v>72</v>
      </c>
      <c r="C297" s="4" t="s">
        <v>588</v>
      </c>
      <c r="D297" s="4" t="s">
        <v>74</v>
      </c>
      <c r="E297" s="4" t="s">
        <v>75</v>
      </c>
      <c r="F297" s="4" t="s">
        <v>76</v>
      </c>
      <c r="G297" s="4" t="s">
        <v>571</v>
      </c>
      <c r="H297" s="4" t="s">
        <v>78</v>
      </c>
      <c r="I297" s="4" t="s">
        <v>78</v>
      </c>
      <c r="J297" s="4" t="s">
        <v>172</v>
      </c>
      <c r="K297" s="4" t="s">
        <v>80</v>
      </c>
      <c r="L297" s="4" t="s">
        <v>81</v>
      </c>
      <c r="V297" s="5">
        <v>11.89</v>
      </c>
      <c r="X297" s="5">
        <v>1.899</v>
      </c>
      <c r="Z297" s="5">
        <v>48.37</v>
      </c>
      <c r="AD297" s="5">
        <v>48.37</v>
      </c>
      <c r="AJ297" s="5">
        <v>1.15</v>
      </c>
      <c r="AL297" s="5">
        <v>1.525</v>
      </c>
    </row>
    <row r="298" ht="15.75" customHeight="1">
      <c r="A298" s="4" t="str">
        <f t="shared" si="1"/>
        <v>Liabilities|Portfolio investment, Debt securities, Positions, Derived using counterparty information|Isle of Man|Half-yearly, semester</v>
      </c>
      <c r="B298" s="4" t="s">
        <v>72</v>
      </c>
      <c r="C298" s="4" t="s">
        <v>589</v>
      </c>
      <c r="D298" s="4" t="s">
        <v>74</v>
      </c>
      <c r="E298" s="4" t="s">
        <v>75</v>
      </c>
      <c r="F298" s="4" t="s">
        <v>76</v>
      </c>
      <c r="G298" s="4" t="s">
        <v>571</v>
      </c>
      <c r="H298" s="4" t="s">
        <v>78</v>
      </c>
      <c r="I298" s="4" t="s">
        <v>78</v>
      </c>
      <c r="J298" s="4" t="s">
        <v>129</v>
      </c>
      <c r="K298" s="4" t="s">
        <v>80</v>
      </c>
      <c r="L298" s="4" t="s">
        <v>81</v>
      </c>
      <c r="V298" s="5">
        <v>52.0703339559723</v>
      </c>
      <c r="X298" s="5">
        <v>1.6150236</v>
      </c>
      <c r="Z298" s="5">
        <v>3.0446982</v>
      </c>
      <c r="AB298" s="5">
        <v>0.2365829802</v>
      </c>
      <c r="AD298" s="5">
        <v>0.586219772753942</v>
      </c>
      <c r="AF298" s="5">
        <v>0.795732833723122</v>
      </c>
      <c r="AH298" s="5">
        <v>5.94417392903735</v>
      </c>
      <c r="AJ298" s="5">
        <v>1.33555594317433</v>
      </c>
      <c r="AL298" s="5">
        <v>0.696232113550574</v>
      </c>
      <c r="AN298" s="5">
        <v>0.626385584768671</v>
      </c>
      <c r="AP298" s="5">
        <v>0.319195248438523</v>
      </c>
      <c r="AR298" s="5">
        <v>0.325781034023596</v>
      </c>
      <c r="AT298" s="5">
        <v>0.539694632651849</v>
      </c>
      <c r="AV298" s="5">
        <v>0.0</v>
      </c>
      <c r="AX298" s="5">
        <v>0.18767549579856</v>
      </c>
      <c r="AZ298" s="5">
        <v>0.191347955093541</v>
      </c>
      <c r="BB298" s="5">
        <v>1.2133327</v>
      </c>
      <c r="BD298" s="5">
        <v>0.0</v>
      </c>
    </row>
    <row r="299" ht="15.75" customHeight="1">
      <c r="A299" s="4" t="str">
        <f t="shared" si="1"/>
        <v>Liabilities|Portfolio investment, Debt securities, Long-term, Positions|World|Half-yearly, semester</v>
      </c>
      <c r="B299" s="4" t="s">
        <v>72</v>
      </c>
      <c r="C299" s="4" t="s">
        <v>590</v>
      </c>
      <c r="D299" s="4" t="s">
        <v>74</v>
      </c>
      <c r="E299" s="4" t="s">
        <v>75</v>
      </c>
      <c r="F299" s="4" t="s">
        <v>76</v>
      </c>
      <c r="G299" s="4" t="s">
        <v>77</v>
      </c>
      <c r="H299" s="4" t="s">
        <v>78</v>
      </c>
      <c r="I299" s="4" t="s">
        <v>78</v>
      </c>
      <c r="J299" s="4" t="s">
        <v>591</v>
      </c>
      <c r="K299" s="4" t="s">
        <v>80</v>
      </c>
      <c r="L299" s="4" t="s">
        <v>81</v>
      </c>
      <c r="AF299" s="5">
        <v>30213.2259000001</v>
      </c>
      <c r="AH299" s="5">
        <v>33218.5319999999</v>
      </c>
      <c r="AJ299" s="5">
        <v>31187.0084695001</v>
      </c>
      <c r="AL299" s="5">
        <v>32144.3173674</v>
      </c>
      <c r="AN299" s="5">
        <v>43172.2261726</v>
      </c>
      <c r="AU299" s="5">
        <v>83657.22</v>
      </c>
      <c r="AV299" s="5">
        <v>80416.3563999998</v>
      </c>
      <c r="AW299" s="5">
        <v>74889.9307980002</v>
      </c>
      <c r="AX299" s="5">
        <v>77123.2867455998</v>
      </c>
      <c r="AY299" s="5">
        <v>84493.8908000001</v>
      </c>
      <c r="AZ299" s="5">
        <v>84699.3498710891</v>
      </c>
      <c r="BA299" s="5">
        <v>100253.542857143</v>
      </c>
      <c r="BB299" s="5">
        <v>101679.889992903</v>
      </c>
      <c r="BC299" s="5">
        <v>102075.769464105</v>
      </c>
      <c r="BD299" s="5">
        <v>97732.3241138561</v>
      </c>
      <c r="BE299" s="5">
        <v>103559.315884597</v>
      </c>
      <c r="BF299" s="5">
        <v>105842.620554957</v>
      </c>
      <c r="BG299" s="5">
        <v>103551.871224778</v>
      </c>
      <c r="BH299" s="5">
        <v>108923.656862037</v>
      </c>
      <c r="BI299" s="5">
        <v>104412.943317005</v>
      </c>
      <c r="BJ299" s="5">
        <v>110080.026644804</v>
      </c>
      <c r="BK299" s="5">
        <v>100120.633194557</v>
      </c>
      <c r="BL299" s="5">
        <v>103852.751346215</v>
      </c>
      <c r="BM299" s="5">
        <v>107600.876009963</v>
      </c>
      <c r="BN299" s="5">
        <v>118711.630000634</v>
      </c>
      <c r="BO299" s="5">
        <v>119077.629962911</v>
      </c>
      <c r="BP299" s="5">
        <v>125706.71178793</v>
      </c>
      <c r="BQ299" s="5">
        <v>143564.927184466</v>
      </c>
      <c r="BR299" s="5">
        <v>147399.386361005</v>
      </c>
    </row>
    <row r="300" ht="15.75" customHeight="1">
      <c r="A300" s="4" t="str">
        <f t="shared" si="1"/>
        <v>Liabilities|Portfolio investment, Debt securities, Long-term, Positions|Saudi Arabia|Half-yearly, semester</v>
      </c>
      <c r="B300" s="4" t="s">
        <v>72</v>
      </c>
      <c r="C300" s="4" t="s">
        <v>592</v>
      </c>
      <c r="D300" s="4" t="s">
        <v>74</v>
      </c>
      <c r="E300" s="4" t="s">
        <v>75</v>
      </c>
      <c r="F300" s="4" t="s">
        <v>76</v>
      </c>
      <c r="G300" s="4" t="s">
        <v>77</v>
      </c>
      <c r="H300" s="4" t="s">
        <v>78</v>
      </c>
      <c r="I300" s="4" t="s">
        <v>78</v>
      </c>
      <c r="J300" s="4" t="s">
        <v>593</v>
      </c>
      <c r="K300" s="4" t="s">
        <v>80</v>
      </c>
      <c r="L300" s="4" t="s">
        <v>81</v>
      </c>
    </row>
    <row r="301" ht="15.75" customHeight="1">
      <c r="A301" s="4" t="str">
        <f t="shared" si="1"/>
        <v>Liabilities|Portfolio investment, Debt securities, Long-term, Positions|Ireland|Half-yearly, semester</v>
      </c>
      <c r="B301" s="4" t="s">
        <v>72</v>
      </c>
      <c r="C301" s="4" t="s">
        <v>594</v>
      </c>
      <c r="D301" s="4" t="s">
        <v>74</v>
      </c>
      <c r="E301" s="4" t="s">
        <v>75</v>
      </c>
      <c r="F301" s="4" t="s">
        <v>76</v>
      </c>
      <c r="G301" s="4" t="s">
        <v>77</v>
      </c>
      <c r="H301" s="4" t="s">
        <v>78</v>
      </c>
      <c r="I301" s="4" t="s">
        <v>78</v>
      </c>
      <c r="J301" s="4" t="s">
        <v>595</v>
      </c>
      <c r="K301" s="4" t="s">
        <v>80</v>
      </c>
      <c r="L301" s="4" t="s">
        <v>81</v>
      </c>
      <c r="AZ301" s="5">
        <v>0.362344087520033</v>
      </c>
      <c r="BA301" s="5">
        <v>0.380952380952381</v>
      </c>
      <c r="BB301" s="5">
        <v>0.35486160397445</v>
      </c>
      <c r="BI301" s="5">
        <v>0.0699790062981106</v>
      </c>
      <c r="BQ301" s="5">
        <v>36.4077669902913</v>
      </c>
      <c r="BR301" s="5">
        <v>36.3552159314577</v>
      </c>
    </row>
    <row r="302" ht="15.75" customHeight="1">
      <c r="A302" s="4" t="str">
        <f t="shared" si="1"/>
        <v>Liabilities|Portfolio investment, Debt securities, Long-term, Positions|Thailand|Half-yearly, semester</v>
      </c>
      <c r="B302" s="4" t="s">
        <v>72</v>
      </c>
      <c r="C302" s="4" t="s">
        <v>597</v>
      </c>
      <c r="D302" s="4" t="s">
        <v>74</v>
      </c>
      <c r="E302" s="4" t="s">
        <v>75</v>
      </c>
      <c r="F302" s="4" t="s">
        <v>76</v>
      </c>
      <c r="G302" s="4" t="s">
        <v>77</v>
      </c>
      <c r="H302" s="4" t="s">
        <v>78</v>
      </c>
      <c r="I302" s="4" t="s">
        <v>78</v>
      </c>
      <c r="J302" s="4" t="s">
        <v>598</v>
      </c>
      <c r="K302" s="4" t="s">
        <v>80</v>
      </c>
      <c r="L302" s="4" t="s">
        <v>81</v>
      </c>
      <c r="BH302" s="5">
        <v>0.030353400303534</v>
      </c>
      <c r="BI302" s="5">
        <v>0.0293911826452064</v>
      </c>
      <c r="BM302" s="5">
        <v>0.00607496506895085</v>
      </c>
      <c r="BN302" s="5">
        <v>0.0063399480124263</v>
      </c>
      <c r="BR302" s="5">
        <v>0.289452356142179</v>
      </c>
    </row>
    <row r="303" ht="15.75" customHeight="1">
      <c r="A303" s="4" t="str">
        <f t="shared" si="1"/>
        <v>Liabilities|Portfolio investment, Debt securities, Long-term, Positions|Belgium|Half-yearly, semester</v>
      </c>
      <c r="B303" s="4" t="s">
        <v>72</v>
      </c>
      <c r="C303" s="4" t="s">
        <v>599</v>
      </c>
      <c r="D303" s="4" t="s">
        <v>74</v>
      </c>
      <c r="E303" s="4" t="s">
        <v>75</v>
      </c>
      <c r="F303" s="4" t="s">
        <v>76</v>
      </c>
      <c r="G303" s="4" t="s">
        <v>77</v>
      </c>
      <c r="H303" s="4" t="s">
        <v>78</v>
      </c>
      <c r="I303" s="4" t="s">
        <v>78</v>
      </c>
      <c r="J303" s="4" t="s">
        <v>600</v>
      </c>
      <c r="K303" s="4" t="s">
        <v>80</v>
      </c>
      <c r="L303" s="4" t="s">
        <v>81</v>
      </c>
      <c r="BC303" s="5">
        <v>0.0128075497135153</v>
      </c>
      <c r="BD303" s="5">
        <v>0.0107411385606874</v>
      </c>
      <c r="BO303" s="5">
        <v>1045.17541192923</v>
      </c>
    </row>
    <row r="304" ht="15.75" customHeight="1">
      <c r="A304" s="4" t="str">
        <f t="shared" si="1"/>
        <v>Liabilities|Portfolio investment, Debt securities, Long-term, Positions|Cayman Islands|Half-yearly, semester</v>
      </c>
      <c r="B304" s="4" t="s">
        <v>72</v>
      </c>
      <c r="C304" s="4" t="s">
        <v>601</v>
      </c>
      <c r="D304" s="4" t="s">
        <v>74</v>
      </c>
      <c r="E304" s="4" t="s">
        <v>75</v>
      </c>
      <c r="F304" s="4" t="s">
        <v>76</v>
      </c>
      <c r="G304" s="4" t="s">
        <v>77</v>
      </c>
      <c r="H304" s="4" t="s">
        <v>78</v>
      </c>
      <c r="I304" s="4" t="s">
        <v>78</v>
      </c>
      <c r="J304" s="4" t="s">
        <v>602</v>
      </c>
      <c r="K304" s="4" t="s">
        <v>80</v>
      </c>
      <c r="L304" s="4" t="s">
        <v>81</v>
      </c>
      <c r="AV304" s="5">
        <v>0.0</v>
      </c>
      <c r="BF304" s="5">
        <v>199.320447198276</v>
      </c>
      <c r="BG304" s="5">
        <v>135.032772137257</v>
      </c>
      <c r="BH304" s="5">
        <v>231.960685119607</v>
      </c>
      <c r="BI304" s="5">
        <v>83.4772568229531</v>
      </c>
      <c r="BJ304" s="5">
        <v>51.0275329644053</v>
      </c>
      <c r="BK304" s="5">
        <v>46.4108618654073</v>
      </c>
      <c r="BL304" s="5">
        <v>19.3740893253088</v>
      </c>
      <c r="BM304" s="5">
        <v>14.1218637992832</v>
      </c>
      <c r="BN304" s="5">
        <v>21.9469980346161</v>
      </c>
      <c r="BO304" s="5">
        <v>18.9171277436615</v>
      </c>
      <c r="BP304" s="5">
        <v>45.1776649746193</v>
      </c>
      <c r="BR304" s="5">
        <v>42.6073868241288</v>
      </c>
    </row>
    <row r="305" ht="15.75" customHeight="1">
      <c r="A305" s="4" t="str">
        <f t="shared" si="1"/>
        <v>Liabilities|Portfolio investment, Debt securities, Long-term, Positions|Austria|Half-yearly, semester</v>
      </c>
      <c r="B305" s="4" t="s">
        <v>72</v>
      </c>
      <c r="C305" s="4" t="s">
        <v>603</v>
      </c>
      <c r="D305" s="4" t="s">
        <v>74</v>
      </c>
      <c r="E305" s="4" t="s">
        <v>75</v>
      </c>
      <c r="F305" s="4" t="s">
        <v>76</v>
      </c>
      <c r="G305" s="4" t="s">
        <v>77</v>
      </c>
      <c r="H305" s="4" t="s">
        <v>78</v>
      </c>
      <c r="I305" s="4" t="s">
        <v>78</v>
      </c>
      <c r="J305" s="4" t="s">
        <v>604</v>
      </c>
      <c r="K305" s="4" t="s">
        <v>80</v>
      </c>
      <c r="L305" s="4" t="s">
        <v>81</v>
      </c>
      <c r="BR305" s="5">
        <v>0.0</v>
      </c>
    </row>
    <row r="306" ht="15.75" customHeight="1">
      <c r="A306" s="4" t="str">
        <f t="shared" si="1"/>
        <v>Liabilities|Portfolio investment, Debt securities, Long-term, Positions|United Kingdom|Half-yearly, semester</v>
      </c>
      <c r="B306" s="4" t="s">
        <v>72</v>
      </c>
      <c r="C306" s="4" t="s">
        <v>605</v>
      </c>
      <c r="D306" s="4" t="s">
        <v>74</v>
      </c>
      <c r="E306" s="4" t="s">
        <v>75</v>
      </c>
      <c r="F306" s="4" t="s">
        <v>76</v>
      </c>
      <c r="G306" s="4" t="s">
        <v>77</v>
      </c>
      <c r="H306" s="4" t="s">
        <v>78</v>
      </c>
      <c r="I306" s="4" t="s">
        <v>78</v>
      </c>
      <c r="J306" s="4" t="s">
        <v>606</v>
      </c>
      <c r="K306" s="4" t="s">
        <v>80</v>
      </c>
      <c r="L306" s="4" t="s">
        <v>81</v>
      </c>
      <c r="AL306" s="5">
        <v>4391.4557309</v>
      </c>
      <c r="AU306" s="5">
        <v>16333.8912</v>
      </c>
      <c r="AV306" s="5">
        <v>15171.0362</v>
      </c>
      <c r="AX306" s="5">
        <v>16008.7668224</v>
      </c>
      <c r="AY306" s="5">
        <v>18090.19011</v>
      </c>
      <c r="AZ306" s="5">
        <v>21862.7698418229</v>
      </c>
      <c r="BA306" s="5">
        <v>31420.3245421245</v>
      </c>
      <c r="BB306" s="5">
        <v>32511.8694109297</v>
      </c>
      <c r="BC306" s="5">
        <v>32115.6703741153</v>
      </c>
      <c r="BD306" s="5">
        <v>30817.6544038668</v>
      </c>
      <c r="BE306" s="5">
        <v>33223.0698172568</v>
      </c>
      <c r="BF306" s="5">
        <v>31185.5091594828</v>
      </c>
      <c r="BG306" s="5">
        <v>29651.6302531808</v>
      </c>
      <c r="BH306" s="5">
        <v>28683.9575052396</v>
      </c>
      <c r="BI306" s="5">
        <v>27660.2596221134</v>
      </c>
      <c r="BJ306" s="5">
        <v>28885.6131720981</v>
      </c>
      <c r="BK306" s="5">
        <v>26272.2127633132</v>
      </c>
      <c r="BL306" s="5">
        <v>25875.4532784289</v>
      </c>
      <c r="BM306" s="5">
        <v>21036.1272097685</v>
      </c>
      <c r="BN306" s="5">
        <v>21355.620363913</v>
      </c>
      <c r="BO306" s="5">
        <v>18686.4364321761</v>
      </c>
      <c r="BP306" s="5">
        <v>18830.3440496334</v>
      </c>
      <c r="BQ306" s="5">
        <v>22029.1262135922</v>
      </c>
      <c r="BR306" s="5">
        <v>21549.9015861989</v>
      </c>
    </row>
    <row r="307" ht="15.75" customHeight="1">
      <c r="A307" s="4" t="str">
        <f t="shared" si="1"/>
        <v>Liabilities|Portfolio investment, Debt securities, Long-term, Positions|Denmark|Half-yearly, semester</v>
      </c>
      <c r="B307" s="4" t="s">
        <v>72</v>
      </c>
      <c r="C307" s="4" t="s">
        <v>607</v>
      </c>
      <c r="D307" s="4" t="s">
        <v>74</v>
      </c>
      <c r="E307" s="4" t="s">
        <v>75</v>
      </c>
      <c r="F307" s="4" t="s">
        <v>76</v>
      </c>
      <c r="G307" s="4" t="s">
        <v>77</v>
      </c>
      <c r="H307" s="4" t="s">
        <v>78</v>
      </c>
      <c r="I307" s="4" t="s">
        <v>78</v>
      </c>
      <c r="J307" s="4" t="s">
        <v>608</v>
      </c>
      <c r="K307" s="4" t="s">
        <v>80</v>
      </c>
      <c r="L307" s="4" t="s">
        <v>81</v>
      </c>
      <c r="AZ307" s="5">
        <v>0.491254964810815</v>
      </c>
      <c r="BA307" s="5">
        <v>0.664468864468865</v>
      </c>
      <c r="BB307" s="5">
        <v>0.487579843860894</v>
      </c>
      <c r="BC307" s="5">
        <v>0.39298955173576</v>
      </c>
      <c r="BQ307" s="5">
        <v>2.42718446601942</v>
      </c>
    </row>
    <row r="308" ht="15.75" customHeight="1">
      <c r="A308" s="4" t="str">
        <f t="shared" si="1"/>
        <v>Liabilities|Portfolio investment, Debt securities, Long-term, Positions|France|Half-yearly, semester</v>
      </c>
      <c r="B308" s="4" t="s">
        <v>72</v>
      </c>
      <c r="C308" s="4" t="s">
        <v>609</v>
      </c>
      <c r="D308" s="4" t="s">
        <v>74</v>
      </c>
      <c r="E308" s="4" t="s">
        <v>75</v>
      </c>
      <c r="F308" s="4" t="s">
        <v>76</v>
      </c>
      <c r="G308" s="4" t="s">
        <v>77</v>
      </c>
      <c r="H308" s="4" t="s">
        <v>78</v>
      </c>
      <c r="I308" s="4" t="s">
        <v>78</v>
      </c>
      <c r="J308" s="4" t="s">
        <v>610</v>
      </c>
      <c r="K308" s="4" t="s">
        <v>80</v>
      </c>
      <c r="L308" s="4" t="s">
        <v>81</v>
      </c>
      <c r="BD308" s="5">
        <v>33.6345327604726</v>
      </c>
      <c r="BE308" s="5">
        <v>34.55719927706</v>
      </c>
      <c r="BH308" s="5">
        <v>0.031798800317988</v>
      </c>
    </row>
    <row r="309" ht="15.75" customHeight="1">
      <c r="A309" s="4" t="str">
        <f t="shared" si="1"/>
        <v>Liabilities|Portfolio investment, Debt securities, Long-term, Positions|Guernsey|Half-yearly, semester</v>
      </c>
      <c r="B309" s="4" t="s">
        <v>72</v>
      </c>
      <c r="C309" s="4" t="s">
        <v>611</v>
      </c>
      <c r="D309" s="4" t="s">
        <v>74</v>
      </c>
      <c r="E309" s="4" t="s">
        <v>75</v>
      </c>
      <c r="F309" s="4" t="s">
        <v>76</v>
      </c>
      <c r="G309" s="4" t="s">
        <v>77</v>
      </c>
      <c r="H309" s="4" t="s">
        <v>78</v>
      </c>
      <c r="I309" s="4" t="s">
        <v>78</v>
      </c>
      <c r="J309" s="4" t="s">
        <v>612</v>
      </c>
      <c r="K309" s="4" t="s">
        <v>80</v>
      </c>
      <c r="L309" s="4" t="s">
        <v>81</v>
      </c>
    </row>
    <row r="310" ht="15.75" customHeight="1">
      <c r="A310" s="4" t="str">
        <f t="shared" si="1"/>
        <v>Liabilities|Portfolio investment, Debt securities, Long-term, Positions|Switzerland|Half-yearly, semester</v>
      </c>
      <c r="B310" s="4" t="s">
        <v>72</v>
      </c>
      <c r="C310" s="4" t="s">
        <v>613</v>
      </c>
      <c r="D310" s="4" t="s">
        <v>74</v>
      </c>
      <c r="E310" s="4" t="s">
        <v>75</v>
      </c>
      <c r="F310" s="4" t="s">
        <v>76</v>
      </c>
      <c r="G310" s="4" t="s">
        <v>77</v>
      </c>
      <c r="H310" s="4" t="s">
        <v>78</v>
      </c>
      <c r="I310" s="4" t="s">
        <v>78</v>
      </c>
      <c r="J310" s="4" t="s">
        <v>614</v>
      </c>
      <c r="K310" s="4" t="s">
        <v>80</v>
      </c>
      <c r="L310" s="4" t="s">
        <v>81</v>
      </c>
      <c r="AL310" s="5">
        <v>934.5495376</v>
      </c>
      <c r="AV310" s="5">
        <v>416.502799999999</v>
      </c>
      <c r="AY310" s="5">
        <v>805.037760000001</v>
      </c>
      <c r="AZ310" s="5">
        <v>781.769214688872</v>
      </c>
      <c r="BA310" s="5">
        <v>900.400732600733</v>
      </c>
      <c r="BB310" s="5">
        <v>847.051100070972</v>
      </c>
      <c r="BC310" s="5">
        <v>908.757667677789</v>
      </c>
      <c r="BD310" s="5">
        <v>881.912593984962</v>
      </c>
      <c r="BE310" s="5">
        <v>714.91197536649</v>
      </c>
      <c r="BF310" s="5">
        <v>719.99057112069</v>
      </c>
      <c r="BG310" s="5">
        <v>884.888831769695</v>
      </c>
      <c r="BH310" s="5">
        <v>829.512900195129</v>
      </c>
      <c r="BI310" s="5">
        <v>993.092372288314</v>
      </c>
      <c r="BJ310" s="5">
        <v>813.115392498463</v>
      </c>
      <c r="BK310" s="5">
        <v>739.549493568632</v>
      </c>
      <c r="BL310" s="5">
        <v>1005.77763699715</v>
      </c>
      <c r="BM310" s="5">
        <v>997.990401555191</v>
      </c>
      <c r="BN310" s="5">
        <v>1222.04463323401</v>
      </c>
      <c r="BO310" s="5">
        <v>1083.27415334104</v>
      </c>
    </row>
    <row r="311" ht="15.75" customHeight="1">
      <c r="A311" s="4" t="str">
        <f t="shared" si="1"/>
        <v>Liabilities|Portfolio investment, Debt securities, Long-term, Positions|China, People's Republic of|Half-yearly, semester</v>
      </c>
      <c r="B311" s="4" t="s">
        <v>72</v>
      </c>
      <c r="C311" s="4" t="s">
        <v>615</v>
      </c>
      <c r="D311" s="4" t="s">
        <v>74</v>
      </c>
      <c r="E311" s="4" t="s">
        <v>75</v>
      </c>
      <c r="F311" s="4" t="s">
        <v>76</v>
      </c>
      <c r="G311" s="4" t="s">
        <v>77</v>
      </c>
      <c r="H311" s="4" t="s">
        <v>78</v>
      </c>
      <c r="I311" s="4" t="s">
        <v>78</v>
      </c>
      <c r="J311" s="4" t="s">
        <v>616</v>
      </c>
      <c r="K311" s="4" t="s">
        <v>80</v>
      </c>
      <c r="L311" s="4" t="s">
        <v>81</v>
      </c>
      <c r="AV311" s="5">
        <v>106.4744</v>
      </c>
      <c r="AY311" s="5">
        <v>324.599930000001</v>
      </c>
      <c r="AZ311" s="5">
        <v>306.346596056024</v>
      </c>
      <c r="BA311" s="5">
        <v>449.984615384615</v>
      </c>
      <c r="BB311" s="5">
        <v>448.594748048261</v>
      </c>
      <c r="BC311" s="5">
        <v>449.295584765757</v>
      </c>
      <c r="BD311" s="5">
        <v>453.608351235231</v>
      </c>
      <c r="BE311" s="5">
        <v>597.150411674142</v>
      </c>
      <c r="BF311" s="5">
        <v>482.407058189655</v>
      </c>
      <c r="BG311" s="5">
        <v>328.218095360494</v>
      </c>
      <c r="BH311" s="5">
        <v>194.090482040905</v>
      </c>
      <c r="BI311" s="5">
        <v>151.580825752274</v>
      </c>
      <c r="BJ311" s="5">
        <v>135.257224841156</v>
      </c>
      <c r="BK311" s="5">
        <v>123.019946560616</v>
      </c>
      <c r="BL311" s="5">
        <v>125.386759581882</v>
      </c>
      <c r="BM311" s="5">
        <v>118.101573415953</v>
      </c>
      <c r="BN311" s="5">
        <v>122.89291827807</v>
      </c>
      <c r="BO311" s="5">
        <v>277.324740074178</v>
      </c>
      <c r="BP311" s="5">
        <v>264.749012972363</v>
      </c>
      <c r="BQ311" s="5">
        <v>281.067961165049</v>
      </c>
      <c r="BR311" s="5">
        <v>216.741924279264</v>
      </c>
    </row>
    <row r="312" ht="15.75" customHeight="1">
      <c r="A312" s="4" t="str">
        <f t="shared" si="1"/>
        <v>Liabilities|Portfolio investment, Debt securities, Long-term, Positions|United Arab Emirates|Half-yearly, semester</v>
      </c>
      <c r="B312" s="4" t="s">
        <v>72</v>
      </c>
      <c r="C312" s="4" t="s">
        <v>617</v>
      </c>
      <c r="D312" s="4" t="s">
        <v>74</v>
      </c>
      <c r="E312" s="4" t="s">
        <v>75</v>
      </c>
      <c r="F312" s="4" t="s">
        <v>76</v>
      </c>
      <c r="G312" s="4" t="s">
        <v>77</v>
      </c>
      <c r="H312" s="4" t="s">
        <v>78</v>
      </c>
      <c r="I312" s="4" t="s">
        <v>78</v>
      </c>
      <c r="J312" s="4" t="s">
        <v>618</v>
      </c>
      <c r="K312" s="4" t="s">
        <v>80</v>
      </c>
      <c r="L312" s="4" t="s">
        <v>81</v>
      </c>
      <c r="AL312" s="5">
        <v>0.021651</v>
      </c>
      <c r="AZ312" s="5">
        <v>0.0209044665876942</v>
      </c>
      <c r="BA312" s="5">
        <v>0.0293040293040293</v>
      </c>
      <c r="BB312" s="5">
        <v>0.0290986515259049</v>
      </c>
      <c r="BR312" s="5">
        <v>0.0</v>
      </c>
    </row>
    <row r="313" ht="15.75" customHeight="1">
      <c r="A313" s="4" t="str">
        <f t="shared" si="1"/>
        <v>Liabilities|Portfolio investment, Debt securities, Positions|Belgium|Half-yearly, semester</v>
      </c>
      <c r="B313" s="4" t="s">
        <v>72</v>
      </c>
      <c r="C313" s="4" t="s">
        <v>619</v>
      </c>
      <c r="D313" s="4" t="s">
        <v>74</v>
      </c>
      <c r="E313" s="4" t="s">
        <v>75</v>
      </c>
      <c r="F313" s="4" t="s">
        <v>76</v>
      </c>
      <c r="G313" s="4" t="s">
        <v>165</v>
      </c>
      <c r="H313" s="4" t="s">
        <v>78</v>
      </c>
      <c r="I313" s="4" t="s">
        <v>78</v>
      </c>
      <c r="J313" s="4" t="s">
        <v>600</v>
      </c>
      <c r="K313" s="4" t="s">
        <v>80</v>
      </c>
      <c r="L313" s="4" t="s">
        <v>81</v>
      </c>
      <c r="BC313" s="5">
        <v>0.0128075497135153</v>
      </c>
      <c r="BD313" s="5">
        <v>0.0107411385606874</v>
      </c>
      <c r="BI313" s="5">
        <v>0.0</v>
      </c>
      <c r="BM313" s="5">
        <v>0.0</v>
      </c>
      <c r="BO313" s="5">
        <v>1045.17541192923</v>
      </c>
    </row>
    <row r="314" ht="15.75" customHeight="1">
      <c r="A314" s="4" t="str">
        <f t="shared" si="1"/>
        <v>Liabilities|Portfolio investment, Debt securities, Positions|United Arab Emirates|Half-yearly, semester</v>
      </c>
      <c r="B314" s="4" t="s">
        <v>72</v>
      </c>
      <c r="C314" s="4" t="s">
        <v>620</v>
      </c>
      <c r="D314" s="4" t="s">
        <v>74</v>
      </c>
      <c r="E314" s="4" t="s">
        <v>75</v>
      </c>
      <c r="F314" s="4" t="s">
        <v>76</v>
      </c>
      <c r="G314" s="4" t="s">
        <v>165</v>
      </c>
      <c r="H314" s="4" t="s">
        <v>78</v>
      </c>
      <c r="I314" s="4" t="s">
        <v>78</v>
      </c>
      <c r="J314" s="4" t="s">
        <v>618</v>
      </c>
      <c r="K314" s="4" t="s">
        <v>80</v>
      </c>
      <c r="L314" s="4" t="s">
        <v>81</v>
      </c>
      <c r="AL314" s="5">
        <v>15.0048647</v>
      </c>
      <c r="AW314" s="5">
        <v>0.688339800000002</v>
      </c>
      <c r="BA314" s="5">
        <v>0.0293040293040293</v>
      </c>
      <c r="BB314" s="5">
        <v>0.0290986515259049</v>
      </c>
      <c r="BI314" s="5">
        <v>0.0</v>
      </c>
      <c r="BM314" s="5">
        <v>0.0</v>
      </c>
      <c r="BO314" s="5">
        <v>0.0</v>
      </c>
      <c r="BR314" s="5">
        <v>0.0</v>
      </c>
    </row>
    <row r="315" ht="15.75" customHeight="1">
      <c r="A315" s="4" t="str">
        <f t="shared" si="1"/>
        <v>Liabilities|Portfolio investment, Debt securities, Positions|Saudi Arabia|Half-yearly, semester</v>
      </c>
      <c r="B315" s="4" t="s">
        <v>72</v>
      </c>
      <c r="C315" s="4" t="s">
        <v>621</v>
      </c>
      <c r="D315" s="4" t="s">
        <v>74</v>
      </c>
      <c r="E315" s="4" t="s">
        <v>75</v>
      </c>
      <c r="F315" s="4" t="s">
        <v>76</v>
      </c>
      <c r="G315" s="4" t="s">
        <v>165</v>
      </c>
      <c r="H315" s="4" t="s">
        <v>78</v>
      </c>
      <c r="I315" s="4" t="s">
        <v>78</v>
      </c>
      <c r="J315" s="4" t="s">
        <v>593</v>
      </c>
      <c r="K315" s="4" t="s">
        <v>80</v>
      </c>
      <c r="L315" s="4" t="s">
        <v>81</v>
      </c>
      <c r="AL315" s="5">
        <v>0.0</v>
      </c>
      <c r="BM315" s="5">
        <v>0.0</v>
      </c>
      <c r="BO315" s="5">
        <v>0.0</v>
      </c>
    </row>
    <row r="316" ht="15.75" customHeight="1">
      <c r="A316" s="4" t="str">
        <f t="shared" si="1"/>
        <v>Liabilities|Portfolio investment, Debt securities, Positions|Netherlands, The|Half-yearly, semester</v>
      </c>
      <c r="B316" s="4" t="s">
        <v>72</v>
      </c>
      <c r="C316" s="4" t="s">
        <v>623</v>
      </c>
      <c r="D316" s="4" t="s">
        <v>74</v>
      </c>
      <c r="E316" s="4" t="s">
        <v>75</v>
      </c>
      <c r="F316" s="4" t="s">
        <v>76</v>
      </c>
      <c r="G316" s="4" t="s">
        <v>165</v>
      </c>
      <c r="H316" s="4" t="s">
        <v>78</v>
      </c>
      <c r="I316" s="4" t="s">
        <v>78</v>
      </c>
      <c r="J316" s="4" t="s">
        <v>624</v>
      </c>
      <c r="K316" s="4" t="s">
        <v>80</v>
      </c>
      <c r="L316" s="4" t="s">
        <v>81</v>
      </c>
      <c r="AV316" s="5">
        <v>235.6529</v>
      </c>
      <c r="AW316" s="5">
        <v>212.411156400001</v>
      </c>
      <c r="BI316" s="5">
        <v>1300.50174947516</v>
      </c>
      <c r="BJ316" s="5">
        <v>1739.79094076655</v>
      </c>
      <c r="BK316" s="5">
        <v>1582.38488783943</v>
      </c>
      <c r="BL316" s="5">
        <v>1046.59233449477</v>
      </c>
      <c r="BN316" s="5">
        <v>1559.55303366512</v>
      </c>
      <c r="BP316" s="5">
        <v>621.037789058094</v>
      </c>
    </row>
    <row r="317" ht="15.75" customHeight="1">
      <c r="A317" s="4" t="str">
        <f t="shared" si="1"/>
        <v>Liabilities|Portfolio investment, Debt securities, Positions|Hong Kong Special Administrative Region, People's Republic of China|Half-yearly, semester</v>
      </c>
      <c r="B317" s="4" t="s">
        <v>72</v>
      </c>
      <c r="C317" s="4" t="s">
        <v>625</v>
      </c>
      <c r="D317" s="4" t="s">
        <v>74</v>
      </c>
      <c r="E317" s="4" t="s">
        <v>75</v>
      </c>
      <c r="F317" s="4" t="s">
        <v>76</v>
      </c>
      <c r="G317" s="4" t="s">
        <v>165</v>
      </c>
      <c r="H317" s="4" t="s">
        <v>78</v>
      </c>
      <c r="I317" s="4" t="s">
        <v>78</v>
      </c>
      <c r="J317" s="4" t="s">
        <v>626</v>
      </c>
      <c r="K317" s="4" t="s">
        <v>80</v>
      </c>
      <c r="L317" s="4" t="s">
        <v>81</v>
      </c>
      <c r="AL317" s="5">
        <v>10.0792622</v>
      </c>
      <c r="AU317" s="5">
        <v>202.7256</v>
      </c>
      <c r="AV317" s="5">
        <v>260.7057</v>
      </c>
      <c r="AW317" s="5">
        <v>342.583785000001</v>
      </c>
      <c r="BA317" s="5">
        <v>166.099633699634</v>
      </c>
      <c r="BB317" s="5">
        <v>233.500354861604</v>
      </c>
      <c r="BC317" s="5">
        <v>321.379170879676</v>
      </c>
      <c r="BD317" s="5">
        <v>308.568743286788</v>
      </c>
      <c r="BE317" s="5">
        <v>262.319432358257</v>
      </c>
      <c r="BF317" s="5">
        <v>525.433728448276</v>
      </c>
      <c r="BG317" s="5">
        <v>464.210898342115</v>
      </c>
      <c r="BH317" s="5">
        <v>386.010695960107</v>
      </c>
      <c r="BI317" s="5">
        <v>737.205038488454</v>
      </c>
      <c r="BJ317" s="5">
        <v>801.811846689895</v>
      </c>
      <c r="BK317" s="5">
        <v>729.268626110731</v>
      </c>
      <c r="BL317" s="5">
        <v>582.726005701616</v>
      </c>
      <c r="BM317" s="5">
        <v>565.453496142397</v>
      </c>
      <c r="BN317" s="5">
        <v>581.803715209535</v>
      </c>
      <c r="BO317" s="5">
        <v>533.898583328267</v>
      </c>
      <c r="BP317" s="5">
        <v>600.846023688663</v>
      </c>
      <c r="BQ317" s="5">
        <v>713.228155339806</v>
      </c>
      <c r="BR317" s="5">
        <v>638.41611670719</v>
      </c>
    </row>
    <row r="318" ht="15.75" customHeight="1">
      <c r="A318" s="4" t="str">
        <f t="shared" si="1"/>
        <v>Liabilities|Portfolio investment, Debt securities, Long-term, Positions|Netherlands, The|Half-yearly, semester</v>
      </c>
      <c r="B318" s="4" t="s">
        <v>72</v>
      </c>
      <c r="C318" s="4" t="s">
        <v>627</v>
      </c>
      <c r="D318" s="4" t="s">
        <v>74</v>
      </c>
      <c r="E318" s="4" t="s">
        <v>75</v>
      </c>
      <c r="F318" s="4" t="s">
        <v>76</v>
      </c>
      <c r="G318" s="4" t="s">
        <v>77</v>
      </c>
      <c r="H318" s="4" t="s">
        <v>78</v>
      </c>
      <c r="I318" s="4" t="s">
        <v>78</v>
      </c>
      <c r="J318" s="4" t="s">
        <v>624</v>
      </c>
      <c r="K318" s="4" t="s">
        <v>80</v>
      </c>
      <c r="L318" s="4" t="s">
        <v>81</v>
      </c>
      <c r="AZ318" s="5">
        <v>209.044665876942</v>
      </c>
      <c r="BI318" s="5">
        <v>7.86773967809657</v>
      </c>
      <c r="BJ318" s="5">
        <v>0.0321104051376648</v>
      </c>
      <c r="BK318" s="5">
        <v>0.0292052445162493</v>
      </c>
      <c r="BL318" s="5">
        <v>0.189420335761799</v>
      </c>
      <c r="BM318" s="5">
        <v>6.07496506895085E-4</v>
      </c>
    </row>
    <row r="319" ht="15.75" customHeight="1">
      <c r="A319" s="4" t="str">
        <f t="shared" si="1"/>
        <v>Liabilities|Portfolio investment, Debt securities, Positions|Thailand|Half-yearly, semester</v>
      </c>
      <c r="B319" s="4" t="s">
        <v>72</v>
      </c>
      <c r="C319" s="4" t="s">
        <v>628</v>
      </c>
      <c r="D319" s="4" t="s">
        <v>74</v>
      </c>
      <c r="E319" s="4" t="s">
        <v>75</v>
      </c>
      <c r="F319" s="4" t="s">
        <v>76</v>
      </c>
      <c r="G319" s="4" t="s">
        <v>165</v>
      </c>
      <c r="H319" s="4" t="s">
        <v>78</v>
      </c>
      <c r="I319" s="4" t="s">
        <v>78</v>
      </c>
      <c r="J319" s="4" t="s">
        <v>598</v>
      </c>
      <c r="K319" s="4" t="s">
        <v>80</v>
      </c>
      <c r="L319" s="4" t="s">
        <v>81</v>
      </c>
      <c r="AL319" s="5">
        <v>2.9813427</v>
      </c>
      <c r="AN319" s="5">
        <v>3.0192108</v>
      </c>
      <c r="AW319" s="5">
        <v>2.51390700000001</v>
      </c>
      <c r="BH319" s="5">
        <v>0.030353400303534</v>
      </c>
      <c r="BI319" s="5">
        <v>0.0293911826452064</v>
      </c>
      <c r="BM319" s="5">
        <v>0.00607496506895085</v>
      </c>
      <c r="BN319" s="5">
        <v>0.0063399480124263</v>
      </c>
      <c r="BO319" s="5">
        <v>0.0</v>
      </c>
      <c r="BR319" s="5">
        <v>0.289452356142179</v>
      </c>
    </row>
    <row r="320" ht="15.75" customHeight="1">
      <c r="A320" s="4" t="str">
        <f t="shared" si="1"/>
        <v>Liabilities|Portfolio investment, Debt securities, Positions|World|Half-yearly, semester</v>
      </c>
      <c r="B320" s="4" t="s">
        <v>72</v>
      </c>
      <c r="C320" s="4" t="s">
        <v>629</v>
      </c>
      <c r="D320" s="4" t="s">
        <v>74</v>
      </c>
      <c r="E320" s="4" t="s">
        <v>75</v>
      </c>
      <c r="F320" s="4" t="s">
        <v>76</v>
      </c>
      <c r="G320" s="4" t="s">
        <v>165</v>
      </c>
      <c r="H320" s="4" t="s">
        <v>78</v>
      </c>
      <c r="I320" s="4" t="s">
        <v>78</v>
      </c>
      <c r="J320" s="4" t="s">
        <v>591</v>
      </c>
      <c r="K320" s="4" t="s">
        <v>80</v>
      </c>
      <c r="L320" s="4" t="s">
        <v>81</v>
      </c>
      <c r="AF320" s="5">
        <v>44160.3981000001</v>
      </c>
      <c r="AH320" s="5">
        <v>58357.2779999999</v>
      </c>
      <c r="AJ320" s="5">
        <v>46349.8984195001</v>
      </c>
      <c r="AL320" s="5">
        <v>56866.3637689</v>
      </c>
      <c r="AN320" s="5">
        <v>65761.1653484</v>
      </c>
      <c r="AU320" s="5">
        <v>94886.9896</v>
      </c>
      <c r="AV320" s="5">
        <v>90305.9491999998</v>
      </c>
      <c r="AW320" s="5">
        <v>83988.1490850002</v>
      </c>
      <c r="AX320" s="5">
        <v>84611.2789119998</v>
      </c>
      <c r="AY320" s="5">
        <v>92275.4041800001</v>
      </c>
      <c r="AZ320" s="5">
        <v>93134.6651801268</v>
      </c>
      <c r="BA320" s="5">
        <v>107340.81025641</v>
      </c>
      <c r="BB320" s="5">
        <v>107282.098651526</v>
      </c>
      <c r="BC320" s="5">
        <v>107153.750589821</v>
      </c>
      <c r="BD320" s="5">
        <v>106237.374462943</v>
      </c>
      <c r="BE320" s="5">
        <v>110669.173304773</v>
      </c>
      <c r="BF320" s="5">
        <v>114072.743130388</v>
      </c>
      <c r="BG320" s="5">
        <v>111822.0042411</v>
      </c>
      <c r="BH320" s="5">
        <v>122014.222013442</v>
      </c>
      <c r="BI320" s="5">
        <v>122874.165150455</v>
      </c>
      <c r="BJ320" s="5">
        <v>127657.795996447</v>
      </c>
      <c r="BK320" s="5">
        <v>116108.069346921</v>
      </c>
      <c r="BL320" s="5">
        <v>114973.799809946</v>
      </c>
      <c r="BM320" s="5">
        <v>115963.213049025</v>
      </c>
      <c r="BN320" s="5">
        <v>130545.210803271</v>
      </c>
      <c r="BO320" s="5">
        <v>136143.198759652</v>
      </c>
      <c r="BP320" s="5">
        <v>141586.238014664</v>
      </c>
      <c r="BQ320" s="5">
        <v>162657.70631068</v>
      </c>
      <c r="BR320" s="5">
        <v>165011.172860947</v>
      </c>
    </row>
    <row r="321" ht="15.75" customHeight="1">
      <c r="A321" s="4" t="str">
        <f t="shared" si="1"/>
        <v>Liabilities|Portfolio investment, Debt securities, Long-term, Positions|French Polynesia|Half-yearly, semester</v>
      </c>
      <c r="B321" s="4" t="s">
        <v>72</v>
      </c>
      <c r="C321" s="4" t="s">
        <v>630</v>
      </c>
      <c r="D321" s="4" t="s">
        <v>74</v>
      </c>
      <c r="E321" s="4" t="s">
        <v>75</v>
      </c>
      <c r="F321" s="4" t="s">
        <v>76</v>
      </c>
      <c r="G321" s="4" t="s">
        <v>77</v>
      </c>
      <c r="H321" s="4" t="s">
        <v>78</v>
      </c>
      <c r="I321" s="4" t="s">
        <v>78</v>
      </c>
      <c r="J321" s="4" t="s">
        <v>631</v>
      </c>
      <c r="K321" s="4" t="s">
        <v>80</v>
      </c>
      <c r="L321" s="4" t="s">
        <v>81</v>
      </c>
      <c r="BR321" s="5">
        <v>0.173671413685307</v>
      </c>
    </row>
    <row r="322" ht="15.75" customHeight="1">
      <c r="A322" s="4" t="str">
        <f t="shared" si="1"/>
        <v>Liabilities|Portfolio investment, Debt securities, Long-term, Positions|Korea, Republic of|Half-yearly, semester</v>
      </c>
      <c r="B322" s="4" t="s">
        <v>72</v>
      </c>
      <c r="C322" s="4" t="s">
        <v>632</v>
      </c>
      <c r="D322" s="4" t="s">
        <v>74</v>
      </c>
      <c r="E322" s="4" t="s">
        <v>75</v>
      </c>
      <c r="F322" s="4" t="s">
        <v>76</v>
      </c>
      <c r="G322" s="4" t="s">
        <v>77</v>
      </c>
      <c r="H322" s="4" t="s">
        <v>78</v>
      </c>
      <c r="I322" s="4" t="s">
        <v>78</v>
      </c>
      <c r="J322" s="4" t="s">
        <v>633</v>
      </c>
      <c r="K322" s="4" t="s">
        <v>80</v>
      </c>
      <c r="L322" s="4" t="s">
        <v>81</v>
      </c>
      <c r="AZ322" s="5">
        <v>38.6572364295171</v>
      </c>
      <c r="BA322" s="5">
        <v>52.2175824175824</v>
      </c>
      <c r="BB322" s="5">
        <v>39.8140525195174</v>
      </c>
      <c r="BC322" s="5">
        <v>66.9322548028311</v>
      </c>
      <c r="BD322" s="5">
        <v>28.046455424275</v>
      </c>
      <c r="BE322" s="5">
        <v>26.8572193587255</v>
      </c>
      <c r="BF322" s="5">
        <v>44.3851023706897</v>
      </c>
      <c r="BG322" s="5">
        <v>21.1508803495695</v>
      </c>
      <c r="BH322" s="5">
        <v>29.6502131965021</v>
      </c>
      <c r="BI322" s="5">
        <v>26.3009097270819</v>
      </c>
      <c r="BJ322" s="5">
        <v>54.2754662840746</v>
      </c>
      <c r="BK322" s="5">
        <v>49.3649412788169</v>
      </c>
      <c r="BL322" s="5">
        <v>67.1954387076338</v>
      </c>
      <c r="BM322" s="5">
        <v>96.1357147196404</v>
      </c>
      <c r="BN322" s="5">
        <v>835.614657959805</v>
      </c>
      <c r="BO322" s="5">
        <v>3596.98121237916</v>
      </c>
      <c r="BP322" s="5">
        <v>3628.20078962211</v>
      </c>
      <c r="BQ322" s="5">
        <v>4197.02669902913</v>
      </c>
      <c r="BR322" s="5">
        <v>4836.34363783721</v>
      </c>
    </row>
    <row r="323" ht="15.75" customHeight="1">
      <c r="A323" s="4" t="str">
        <f t="shared" si="1"/>
        <v>Liabilities|Portfolio investment, Debt securities, Long-term, Positions|Hong Kong Special Administrative Region, People's Republic of China|Half-yearly, semester</v>
      </c>
      <c r="B323" s="4" t="s">
        <v>72</v>
      </c>
      <c r="C323" s="4" t="s">
        <v>634</v>
      </c>
      <c r="D323" s="4" t="s">
        <v>74</v>
      </c>
      <c r="E323" s="4" t="s">
        <v>75</v>
      </c>
      <c r="F323" s="4" t="s">
        <v>76</v>
      </c>
      <c r="G323" s="4" t="s">
        <v>77</v>
      </c>
      <c r="H323" s="4" t="s">
        <v>78</v>
      </c>
      <c r="I323" s="4" t="s">
        <v>78</v>
      </c>
      <c r="J323" s="4" t="s">
        <v>626</v>
      </c>
      <c r="K323" s="4" t="s">
        <v>80</v>
      </c>
      <c r="L323" s="4" t="s">
        <v>81</v>
      </c>
      <c r="AV323" s="5">
        <v>108.8231</v>
      </c>
      <c r="AX323" s="5">
        <v>244.480447999999</v>
      </c>
      <c r="AY323" s="5">
        <v>227.64304</v>
      </c>
      <c r="AZ323" s="5">
        <v>163.835272803289</v>
      </c>
      <c r="BA323" s="5">
        <v>166.099633699634</v>
      </c>
      <c r="BB323" s="5">
        <v>233.500354861604</v>
      </c>
      <c r="BC323" s="5">
        <v>321.379170879676</v>
      </c>
      <c r="BD323" s="5">
        <v>308.568743286788</v>
      </c>
      <c r="BE323" s="5">
        <v>262.319432358257</v>
      </c>
      <c r="BF323" s="5">
        <v>525.433728448276</v>
      </c>
      <c r="BG323" s="5">
        <v>464.210898342115</v>
      </c>
      <c r="BH323" s="5">
        <v>386.010695960107</v>
      </c>
      <c r="BI323" s="5">
        <v>737.205038488454</v>
      </c>
      <c r="BJ323" s="5">
        <v>801.811846689895</v>
      </c>
      <c r="BK323" s="5">
        <v>729.268626110731</v>
      </c>
      <c r="BL323" s="5">
        <v>582.726005701616</v>
      </c>
      <c r="BM323" s="5">
        <v>565.453496142397</v>
      </c>
      <c r="BN323" s="5">
        <v>581.803715209535</v>
      </c>
      <c r="BO323" s="5">
        <v>533.898583328267</v>
      </c>
      <c r="BP323" s="5">
        <v>600.846023688663</v>
      </c>
      <c r="BQ323" s="5">
        <v>713.228155339806</v>
      </c>
      <c r="BR323" s="5">
        <v>638.41611670719</v>
      </c>
    </row>
    <row r="324" ht="15.75" customHeight="1">
      <c r="A324" s="4" t="str">
        <f t="shared" si="1"/>
        <v>Liabilities|Portfolio investment, Debt securities, Long-term, Positions|Taiwan Province of China|Half-yearly, semester</v>
      </c>
      <c r="B324" s="4" t="s">
        <v>72</v>
      </c>
      <c r="C324" s="4" t="s">
        <v>635</v>
      </c>
      <c r="D324" s="4" t="s">
        <v>74</v>
      </c>
      <c r="E324" s="4" t="s">
        <v>75</v>
      </c>
      <c r="F324" s="4" t="s">
        <v>76</v>
      </c>
      <c r="G324" s="4" t="s">
        <v>77</v>
      </c>
      <c r="H324" s="4" t="s">
        <v>78</v>
      </c>
      <c r="I324" s="4" t="s">
        <v>78</v>
      </c>
      <c r="J324" s="4" t="s">
        <v>636</v>
      </c>
      <c r="K324" s="4" t="s">
        <v>80</v>
      </c>
      <c r="L324" s="4" t="s">
        <v>81</v>
      </c>
      <c r="AL324" s="5">
        <v>4.6730075</v>
      </c>
      <c r="BD324" s="5">
        <v>2.26235230934479</v>
      </c>
      <c r="BE324" s="5">
        <v>2.27123636120222</v>
      </c>
      <c r="BF324" s="5">
        <v>1.54633620689655</v>
      </c>
      <c r="BG324" s="5">
        <v>2.57357666109755</v>
      </c>
      <c r="BH324" s="5">
        <v>2.89007732890077</v>
      </c>
      <c r="BI324" s="5">
        <v>2.23093072078377</v>
      </c>
      <c r="BJ324" s="5">
        <v>0.303340848534536</v>
      </c>
      <c r="BK324" s="5">
        <v>0.275896352451376</v>
      </c>
      <c r="BL324" s="5">
        <v>0.280012670256573</v>
      </c>
    </row>
    <row r="325" ht="15.75" customHeight="1">
      <c r="A325" s="4" t="str">
        <f t="shared" si="1"/>
        <v>Liabilities|Portfolio investment, Debt securities, Long-term, Positions|Barbados|Half-yearly, semester</v>
      </c>
      <c r="B325" s="4" t="s">
        <v>72</v>
      </c>
      <c r="C325" s="4" t="s">
        <v>637</v>
      </c>
      <c r="D325" s="4" t="s">
        <v>74</v>
      </c>
      <c r="E325" s="4" t="s">
        <v>75</v>
      </c>
      <c r="F325" s="4" t="s">
        <v>76</v>
      </c>
      <c r="G325" s="4" t="s">
        <v>77</v>
      </c>
      <c r="H325" s="4" t="s">
        <v>78</v>
      </c>
      <c r="I325" s="4" t="s">
        <v>78</v>
      </c>
      <c r="J325" s="4" t="s">
        <v>567</v>
      </c>
      <c r="K325" s="4" t="s">
        <v>80</v>
      </c>
      <c r="L325" s="4" t="s">
        <v>81</v>
      </c>
    </row>
    <row r="326" ht="15.75" customHeight="1">
      <c r="A326" s="4" t="str">
        <f t="shared" si="1"/>
        <v>Liabilities|Portfolio investment, Debt securities, Positions|Guernsey|Half-yearly, semester</v>
      </c>
      <c r="B326" s="4" t="s">
        <v>72</v>
      </c>
      <c r="C326" s="4" t="s">
        <v>638</v>
      </c>
      <c r="D326" s="4" t="s">
        <v>74</v>
      </c>
      <c r="E326" s="4" t="s">
        <v>75</v>
      </c>
      <c r="F326" s="4" t="s">
        <v>76</v>
      </c>
      <c r="G326" s="4" t="s">
        <v>165</v>
      </c>
      <c r="H326" s="4" t="s">
        <v>78</v>
      </c>
      <c r="I326" s="4" t="s">
        <v>78</v>
      </c>
      <c r="J326" s="4" t="s">
        <v>612</v>
      </c>
      <c r="K326" s="4" t="s">
        <v>80</v>
      </c>
      <c r="L326" s="4" t="s">
        <v>81</v>
      </c>
      <c r="AL326" s="5">
        <v>0.0</v>
      </c>
      <c r="BI326" s="5">
        <v>0.0</v>
      </c>
      <c r="BM326" s="5">
        <v>0.0</v>
      </c>
      <c r="BO326" s="5">
        <v>0.0</v>
      </c>
    </row>
    <row r="327" ht="15.75" customHeight="1">
      <c r="A327" s="4" t="str">
        <f t="shared" si="1"/>
        <v>Liabilities|Portfolio investment, Debt securities, Positions|Lao People's Democratic Republic|Half-yearly, semester</v>
      </c>
      <c r="B327" s="4" t="s">
        <v>72</v>
      </c>
      <c r="C327" s="4" t="s">
        <v>640</v>
      </c>
      <c r="D327" s="4" t="s">
        <v>74</v>
      </c>
      <c r="E327" s="4" t="s">
        <v>75</v>
      </c>
      <c r="F327" s="4" t="s">
        <v>76</v>
      </c>
      <c r="G327" s="4" t="s">
        <v>165</v>
      </c>
      <c r="H327" s="4" t="s">
        <v>78</v>
      </c>
      <c r="I327" s="4" t="s">
        <v>78</v>
      </c>
      <c r="J327" s="4" t="s">
        <v>641</v>
      </c>
      <c r="K327" s="4" t="s">
        <v>80</v>
      </c>
      <c r="L327" s="4" t="s">
        <v>81</v>
      </c>
      <c r="AL327" s="5">
        <v>0.0</v>
      </c>
      <c r="BI327" s="5">
        <v>0.0</v>
      </c>
      <c r="BM327" s="5">
        <v>0.0</v>
      </c>
      <c r="BO327" s="5">
        <v>0.0</v>
      </c>
      <c r="BR327" s="5">
        <v>0.115780942456872</v>
      </c>
    </row>
    <row r="328" ht="15.75" customHeight="1">
      <c r="A328" s="4" t="str">
        <f t="shared" si="1"/>
        <v>Liabilities|Portfolio investment, Debt securities, Positions|Switzerland|Half-yearly, semester</v>
      </c>
      <c r="B328" s="4" t="s">
        <v>72</v>
      </c>
      <c r="C328" s="4" t="s">
        <v>642</v>
      </c>
      <c r="D328" s="4" t="s">
        <v>74</v>
      </c>
      <c r="E328" s="4" t="s">
        <v>75</v>
      </c>
      <c r="F328" s="4" t="s">
        <v>76</v>
      </c>
      <c r="G328" s="4" t="s">
        <v>165</v>
      </c>
      <c r="H328" s="4" t="s">
        <v>78</v>
      </c>
      <c r="I328" s="4" t="s">
        <v>78</v>
      </c>
      <c r="J328" s="4" t="s">
        <v>614</v>
      </c>
      <c r="K328" s="4" t="s">
        <v>80</v>
      </c>
      <c r="L328" s="4" t="s">
        <v>81</v>
      </c>
      <c r="AV328" s="5">
        <v>434.509499999999</v>
      </c>
      <c r="BA328" s="5">
        <v>937.47032967033</v>
      </c>
      <c r="BB328" s="5">
        <v>868.626685592619</v>
      </c>
      <c r="BC328" s="5">
        <v>931.541624536569</v>
      </c>
      <c r="BD328" s="5">
        <v>882.718179377014</v>
      </c>
      <c r="BE328" s="5">
        <v>715.246669790481</v>
      </c>
      <c r="BF328" s="5">
        <v>721.670932112069</v>
      </c>
      <c r="BG328" s="5">
        <v>891.818532322324</v>
      </c>
      <c r="BH328" s="5">
        <v>833.703837537039</v>
      </c>
      <c r="BI328" s="5">
        <v>1033.64520643807</v>
      </c>
      <c r="BJ328" s="5">
        <v>867.866366058619</v>
      </c>
      <c r="BK328" s="5">
        <v>789.346921021562</v>
      </c>
      <c r="BL328" s="5">
        <v>1045.46974976243</v>
      </c>
      <c r="BM328" s="5">
        <v>1016.4054431687</v>
      </c>
      <c r="BN328" s="5">
        <v>1236.32980409561</v>
      </c>
      <c r="BO328" s="5">
        <v>1097.04870189092</v>
      </c>
    </row>
    <row r="329" ht="15.75" customHeight="1">
      <c r="A329" s="4" t="str">
        <f t="shared" si="1"/>
        <v>Liabilities|Portfolio investment, Debt securities, Positions|South Africa|Half-yearly, semester</v>
      </c>
      <c r="B329" s="4" t="s">
        <v>72</v>
      </c>
      <c r="C329" s="4" t="s">
        <v>643</v>
      </c>
      <c r="D329" s="4" t="s">
        <v>74</v>
      </c>
      <c r="E329" s="4" t="s">
        <v>75</v>
      </c>
      <c r="F329" s="4" t="s">
        <v>76</v>
      </c>
      <c r="G329" s="4" t="s">
        <v>165</v>
      </c>
      <c r="H329" s="4" t="s">
        <v>78</v>
      </c>
      <c r="I329" s="4" t="s">
        <v>78</v>
      </c>
      <c r="J329" s="4" t="s">
        <v>644</v>
      </c>
      <c r="K329" s="4" t="s">
        <v>80</v>
      </c>
      <c r="L329" s="4" t="s">
        <v>81</v>
      </c>
      <c r="BI329" s="5">
        <v>0.0</v>
      </c>
      <c r="BM329" s="5">
        <v>0.0</v>
      </c>
      <c r="BO329" s="5">
        <v>0.0</v>
      </c>
      <c r="BQ329" s="5">
        <v>0.606796116504854</v>
      </c>
      <c r="BR329" s="5">
        <v>0.926247539654973</v>
      </c>
    </row>
    <row r="330" ht="15.75" customHeight="1">
      <c r="A330" s="4" t="str">
        <f t="shared" si="1"/>
        <v>Liabilities|Portfolio investment, Debt securities, Long-term, Positions|Italy|Half-yearly, semester</v>
      </c>
      <c r="B330" s="4" t="s">
        <v>72</v>
      </c>
      <c r="C330" s="4" t="s">
        <v>645</v>
      </c>
      <c r="D330" s="4" t="s">
        <v>74</v>
      </c>
      <c r="E330" s="4" t="s">
        <v>75</v>
      </c>
      <c r="F330" s="4" t="s">
        <v>76</v>
      </c>
      <c r="G330" s="4" t="s">
        <v>77</v>
      </c>
      <c r="H330" s="4" t="s">
        <v>78</v>
      </c>
      <c r="I330" s="4" t="s">
        <v>78</v>
      </c>
      <c r="J330" s="4" t="s">
        <v>646</v>
      </c>
      <c r="K330" s="4" t="s">
        <v>80</v>
      </c>
      <c r="L330" s="4" t="s">
        <v>81</v>
      </c>
      <c r="BD330" s="5">
        <v>0.0892857142857143</v>
      </c>
      <c r="BE330" s="5">
        <v>0.0890287167815784</v>
      </c>
      <c r="BF330" s="5">
        <v>0.0895743534482759</v>
      </c>
      <c r="BR330" s="5">
        <v>0.0</v>
      </c>
    </row>
    <row r="331" ht="15.75" customHeight="1">
      <c r="A331" s="4" t="str">
        <f t="shared" si="1"/>
        <v>Liabilities|Portfolio investment, Debt securities, Positions|Taiwan Province of China|Half-yearly, semester</v>
      </c>
      <c r="B331" s="4" t="s">
        <v>72</v>
      </c>
      <c r="C331" s="4" t="s">
        <v>647</v>
      </c>
      <c r="D331" s="4" t="s">
        <v>74</v>
      </c>
      <c r="E331" s="4" t="s">
        <v>75</v>
      </c>
      <c r="F331" s="4" t="s">
        <v>76</v>
      </c>
      <c r="G331" s="4" t="s">
        <v>165</v>
      </c>
      <c r="H331" s="4" t="s">
        <v>78</v>
      </c>
      <c r="I331" s="4" t="s">
        <v>78</v>
      </c>
      <c r="J331" s="4" t="s">
        <v>636</v>
      </c>
      <c r="K331" s="4" t="s">
        <v>80</v>
      </c>
      <c r="L331" s="4" t="s">
        <v>81</v>
      </c>
      <c r="AL331" s="5">
        <v>16.851695</v>
      </c>
      <c r="AW331" s="5">
        <v>13.5566784</v>
      </c>
      <c r="BD331" s="5">
        <v>2.26235230934479</v>
      </c>
      <c r="BE331" s="5">
        <v>2.27123636120222</v>
      </c>
      <c r="BF331" s="5">
        <v>11.5503771551724</v>
      </c>
      <c r="BG331" s="5">
        <v>2.57357666109755</v>
      </c>
      <c r="BH331" s="5">
        <v>2.89007732890077</v>
      </c>
      <c r="BI331" s="5">
        <v>2.23093072078377</v>
      </c>
      <c r="BJ331" s="5">
        <v>0.303340848534536</v>
      </c>
      <c r="BK331" s="5">
        <v>0.275896352451376</v>
      </c>
      <c r="BL331" s="5">
        <v>0.280012670256573</v>
      </c>
    </row>
    <row r="332" ht="15.75" customHeight="1">
      <c r="A332" s="4" t="str">
        <f t="shared" si="1"/>
        <v>Liabilities|Portfolio investment, Debt securities, Positions|Korea, Republic of|Half-yearly, semester</v>
      </c>
      <c r="B332" s="4" t="s">
        <v>72</v>
      </c>
      <c r="C332" s="4" t="s">
        <v>648</v>
      </c>
      <c r="D332" s="4" t="s">
        <v>74</v>
      </c>
      <c r="E332" s="4" t="s">
        <v>75</v>
      </c>
      <c r="F332" s="4" t="s">
        <v>76</v>
      </c>
      <c r="G332" s="4" t="s">
        <v>165</v>
      </c>
      <c r="H332" s="4" t="s">
        <v>78</v>
      </c>
      <c r="I332" s="4" t="s">
        <v>78</v>
      </c>
      <c r="J332" s="4" t="s">
        <v>633</v>
      </c>
      <c r="K332" s="4" t="s">
        <v>80</v>
      </c>
      <c r="L332" s="4" t="s">
        <v>81</v>
      </c>
      <c r="AV332" s="5">
        <v>165.9748</v>
      </c>
      <c r="BA332" s="5">
        <v>183.353113553114</v>
      </c>
      <c r="BB332" s="5">
        <v>39.8140525195174</v>
      </c>
      <c r="BC332" s="5">
        <v>197.35894843276</v>
      </c>
      <c r="BD332" s="5">
        <v>28.046455424275</v>
      </c>
      <c r="BE332" s="5">
        <v>36.7246803668251</v>
      </c>
      <c r="BF332" s="5">
        <v>44.3851023706897</v>
      </c>
      <c r="BG332" s="5">
        <v>21.1508803495695</v>
      </c>
      <c r="BH332" s="5">
        <v>29.6502131965021</v>
      </c>
      <c r="BI332" s="5">
        <v>26.3009097270819</v>
      </c>
      <c r="BJ332" s="5">
        <v>54.2754662840746</v>
      </c>
      <c r="BK332" s="5">
        <v>49.3649412788169</v>
      </c>
      <c r="BL332" s="5">
        <v>67.1954387076338</v>
      </c>
      <c r="BM332" s="5">
        <v>96.1357147196404</v>
      </c>
      <c r="BN332" s="5">
        <v>835.614657959805</v>
      </c>
      <c r="BO332" s="5">
        <v>3700.84696297197</v>
      </c>
      <c r="BP332" s="5">
        <v>3709.19345741681</v>
      </c>
      <c r="BQ332" s="5">
        <v>4839.44174757282</v>
      </c>
      <c r="BR332" s="5">
        <v>5272.72200995716</v>
      </c>
    </row>
    <row r="333" ht="15.75" customHeight="1">
      <c r="A333" s="4" t="str">
        <f t="shared" si="1"/>
        <v>Liabilities|Portfolio investment, Debt securities, Long-term, Positions|Philippines|Half-yearly, semester</v>
      </c>
      <c r="B333" s="4" t="s">
        <v>72</v>
      </c>
      <c r="C333" s="4" t="s">
        <v>649</v>
      </c>
      <c r="D333" s="4" t="s">
        <v>74</v>
      </c>
      <c r="E333" s="4" t="s">
        <v>75</v>
      </c>
      <c r="F333" s="4" t="s">
        <v>76</v>
      </c>
      <c r="G333" s="4" t="s">
        <v>77</v>
      </c>
      <c r="H333" s="4" t="s">
        <v>78</v>
      </c>
      <c r="I333" s="4" t="s">
        <v>78</v>
      </c>
      <c r="J333" s="4" t="s">
        <v>650</v>
      </c>
      <c r="K333" s="4" t="s">
        <v>80</v>
      </c>
      <c r="L333" s="4" t="s">
        <v>81</v>
      </c>
      <c r="BD333" s="5">
        <v>54.7858485499463</v>
      </c>
    </row>
    <row r="334" ht="15.75" customHeight="1">
      <c r="A334" s="4" t="str">
        <f t="shared" si="1"/>
        <v>Liabilities|Portfolio investment, Debt securities, Long-term, Positions|Vanuatu|Half-yearly, semester</v>
      </c>
      <c r="B334" s="4" t="s">
        <v>72</v>
      </c>
      <c r="C334" s="4" t="s">
        <v>651</v>
      </c>
      <c r="D334" s="4" t="s">
        <v>74</v>
      </c>
      <c r="E334" s="4" t="s">
        <v>75</v>
      </c>
      <c r="F334" s="4" t="s">
        <v>76</v>
      </c>
      <c r="G334" s="4" t="s">
        <v>77</v>
      </c>
      <c r="H334" s="4" t="s">
        <v>78</v>
      </c>
      <c r="I334" s="4" t="s">
        <v>78</v>
      </c>
      <c r="J334" s="4" t="s">
        <v>550</v>
      </c>
      <c r="K334" s="4" t="s">
        <v>80</v>
      </c>
      <c r="L334" s="4" t="s">
        <v>81</v>
      </c>
      <c r="BD334" s="5">
        <v>0.354457572502685</v>
      </c>
      <c r="BE334" s="5">
        <v>0.353437311734387</v>
      </c>
      <c r="BF334" s="5">
        <v>0.355603448275862</v>
      </c>
      <c r="BG334" s="5">
        <v>0.339288009253309</v>
      </c>
      <c r="BH334" s="5">
        <v>0.381585603815856</v>
      </c>
      <c r="BI334" s="5">
        <v>0.369489153254024</v>
      </c>
      <c r="BJ334" s="5">
        <v>0.360729657716745</v>
      </c>
      <c r="BK334" s="5">
        <v>0.328092959671907</v>
      </c>
      <c r="BM334" s="5">
        <v>0.320758155640605</v>
      </c>
      <c r="BN334" s="5">
        <v>0.334749255056109</v>
      </c>
      <c r="BO334" s="5">
        <v>0.321031191098681</v>
      </c>
      <c r="BP334" s="5">
        <v>0.282007896221094</v>
      </c>
      <c r="BQ334" s="5">
        <v>0.0606796116504854</v>
      </c>
    </row>
    <row r="335" ht="15.75" customHeight="1">
      <c r="A335" s="4" t="str">
        <f t="shared" si="1"/>
        <v>Liabilities|Portfolio investment, Debt securities, Positions|Barbados|Half-yearly, semester</v>
      </c>
      <c r="B335" s="4" t="s">
        <v>72</v>
      </c>
      <c r="C335" s="4" t="s">
        <v>652</v>
      </c>
      <c r="D335" s="4" t="s">
        <v>74</v>
      </c>
      <c r="E335" s="4" t="s">
        <v>75</v>
      </c>
      <c r="F335" s="4" t="s">
        <v>76</v>
      </c>
      <c r="G335" s="4" t="s">
        <v>165</v>
      </c>
      <c r="H335" s="4" t="s">
        <v>78</v>
      </c>
      <c r="I335" s="4" t="s">
        <v>78</v>
      </c>
      <c r="J335" s="4" t="s">
        <v>567</v>
      </c>
      <c r="K335" s="4" t="s">
        <v>80</v>
      </c>
      <c r="L335" s="4" t="s">
        <v>81</v>
      </c>
      <c r="AL335" s="5">
        <v>0.0</v>
      </c>
      <c r="BI335" s="5">
        <v>0.0</v>
      </c>
      <c r="BM335" s="5">
        <v>0.0</v>
      </c>
      <c r="BO335" s="5">
        <v>0.0</v>
      </c>
    </row>
    <row r="336" ht="15.75" customHeight="1">
      <c r="A336" s="4" t="str">
        <f t="shared" si="1"/>
        <v>Liabilities|Portfolio investment, Debt securities, Positions|Japan|Half-yearly, semester</v>
      </c>
      <c r="B336" s="4" t="s">
        <v>72</v>
      </c>
      <c r="C336" s="4" t="s">
        <v>653</v>
      </c>
      <c r="D336" s="4" t="s">
        <v>74</v>
      </c>
      <c r="E336" s="4" t="s">
        <v>75</v>
      </c>
      <c r="F336" s="4" t="s">
        <v>76</v>
      </c>
      <c r="G336" s="4" t="s">
        <v>165</v>
      </c>
      <c r="H336" s="4" t="s">
        <v>78</v>
      </c>
      <c r="I336" s="4" t="s">
        <v>78</v>
      </c>
      <c r="J336" s="4" t="s">
        <v>654</v>
      </c>
      <c r="K336" s="4" t="s">
        <v>80</v>
      </c>
      <c r="L336" s="4" t="s">
        <v>81</v>
      </c>
      <c r="AL336" s="5">
        <v>1386.5863326</v>
      </c>
      <c r="AV336" s="5">
        <v>2479.4443</v>
      </c>
      <c r="AW336" s="5">
        <v>1922.25267720001</v>
      </c>
      <c r="BA336" s="5">
        <v>997.573626373626</v>
      </c>
      <c r="BB336" s="5">
        <v>957.880056777857</v>
      </c>
      <c r="BC336" s="5">
        <v>819.158746208291</v>
      </c>
      <c r="BD336" s="5">
        <v>613.511680988185</v>
      </c>
      <c r="BE336" s="5">
        <v>658.119686726019</v>
      </c>
      <c r="BF336" s="5">
        <v>681.052667025862</v>
      </c>
      <c r="BG336" s="5">
        <v>616.082123120422</v>
      </c>
      <c r="BH336" s="5">
        <v>415.3400303534</v>
      </c>
      <c r="BI336" s="5">
        <v>871.135759272218</v>
      </c>
      <c r="BJ336" s="5">
        <v>1379.93031358885</v>
      </c>
      <c r="BK336" s="5">
        <v>1255.08233393401</v>
      </c>
      <c r="BL336" s="5">
        <v>1120.63224580298</v>
      </c>
      <c r="BM336" s="5">
        <v>1172.07824555009</v>
      </c>
      <c r="BN336" s="5">
        <v>1594.38280606099</v>
      </c>
      <c r="BO336" s="5">
        <v>1418.75114002554</v>
      </c>
      <c r="BP336" s="5">
        <v>800.789622109419</v>
      </c>
      <c r="BQ336" s="5">
        <v>1004.24757281553</v>
      </c>
      <c r="BR336" s="5">
        <v>875.072363089036</v>
      </c>
    </row>
    <row r="337" ht="15.75" customHeight="1">
      <c r="A337" s="4" t="str">
        <f t="shared" si="1"/>
        <v>Liabilities|Portfolio investment, Debt securities, Positions|United Kingdom|Half-yearly, semester</v>
      </c>
      <c r="B337" s="4" t="s">
        <v>72</v>
      </c>
      <c r="C337" s="4" t="s">
        <v>655</v>
      </c>
      <c r="D337" s="4" t="s">
        <v>74</v>
      </c>
      <c r="E337" s="4" t="s">
        <v>75</v>
      </c>
      <c r="F337" s="4" t="s">
        <v>76</v>
      </c>
      <c r="G337" s="4" t="s">
        <v>165</v>
      </c>
      <c r="H337" s="4" t="s">
        <v>78</v>
      </c>
      <c r="I337" s="4" t="s">
        <v>78</v>
      </c>
      <c r="J337" s="4" t="s">
        <v>606</v>
      </c>
      <c r="K337" s="4" t="s">
        <v>80</v>
      </c>
      <c r="L337" s="4" t="s">
        <v>81</v>
      </c>
      <c r="AH337" s="5">
        <v>13635.558</v>
      </c>
      <c r="AJ337" s="5">
        <v>10534.3536805</v>
      </c>
      <c r="AL337" s="5">
        <v>14419.9715954</v>
      </c>
      <c r="AN337" s="5">
        <v>14877.8917458</v>
      </c>
      <c r="AU337" s="5">
        <v>19517.824</v>
      </c>
      <c r="AV337" s="5">
        <v>17666.1385</v>
      </c>
      <c r="AW337" s="5">
        <v>16614.5716800001</v>
      </c>
      <c r="AZ337" s="5">
        <v>23962.8618214759</v>
      </c>
      <c r="BB337" s="5">
        <v>35069.4861603974</v>
      </c>
      <c r="BC337" s="5">
        <v>34324.8850690934</v>
      </c>
      <c r="BD337" s="5">
        <v>35617.399301826</v>
      </c>
      <c r="BE337" s="5">
        <v>37964.324251958</v>
      </c>
      <c r="BG337" s="5">
        <v>33166.7831898214</v>
      </c>
      <c r="BH337" s="5">
        <v>36329.5071185951</v>
      </c>
      <c r="BI337" s="5">
        <v>36545.5724282715</v>
      </c>
      <c r="BJ337" s="5">
        <v>32999.5456719273</v>
      </c>
      <c r="BK337" s="5">
        <v>30013.9408438452</v>
      </c>
      <c r="BL337" s="5">
        <v>28796.6721571112</v>
      </c>
      <c r="BO337" s="5">
        <v>28128.2592570074</v>
      </c>
      <c r="BP337" s="5">
        <v>28098.0823463057</v>
      </c>
      <c r="BQ337" s="5">
        <v>30609.5873786408</v>
      </c>
      <c r="BR337" s="5">
        <v>29388.4450619428</v>
      </c>
    </row>
    <row r="338" ht="15.75" customHeight="1">
      <c r="A338" s="4" t="str">
        <f t="shared" si="1"/>
        <v>Liabilities|Portfolio investment, Debt securities, Long-term, Positions|Japan|Half-yearly, semester</v>
      </c>
      <c r="B338" s="4" t="s">
        <v>72</v>
      </c>
      <c r="C338" s="4" t="s">
        <v>656</v>
      </c>
      <c r="D338" s="4" t="s">
        <v>74</v>
      </c>
      <c r="E338" s="4" t="s">
        <v>75</v>
      </c>
      <c r="F338" s="4" t="s">
        <v>76</v>
      </c>
      <c r="G338" s="4" t="s">
        <v>77</v>
      </c>
      <c r="H338" s="4" t="s">
        <v>78</v>
      </c>
      <c r="I338" s="4" t="s">
        <v>78</v>
      </c>
      <c r="J338" s="4" t="s">
        <v>654</v>
      </c>
      <c r="K338" s="4" t="s">
        <v>80</v>
      </c>
      <c r="L338" s="4" t="s">
        <v>81</v>
      </c>
      <c r="AL338" s="5">
        <v>1336.0622807</v>
      </c>
      <c r="AX338" s="5">
        <v>1694.071936</v>
      </c>
      <c r="AY338" s="5">
        <v>1453.35935</v>
      </c>
      <c r="AZ338" s="5">
        <v>1463.63877081737</v>
      </c>
      <c r="BA338" s="5">
        <v>997.573626373626</v>
      </c>
      <c r="BB338" s="5">
        <v>957.880056777857</v>
      </c>
      <c r="BC338" s="5">
        <v>819.158746208291</v>
      </c>
      <c r="BD338" s="5">
        <v>598.511009667025</v>
      </c>
      <c r="BE338" s="5">
        <v>658.119686726019</v>
      </c>
      <c r="BF338" s="5">
        <v>681.052667025862</v>
      </c>
      <c r="BG338" s="5">
        <v>605.386839737823</v>
      </c>
      <c r="BH338" s="5">
        <v>415.3400303534</v>
      </c>
      <c r="BI338" s="5">
        <v>871.135759272218</v>
      </c>
      <c r="BJ338" s="5">
        <v>1379.93031358885</v>
      </c>
      <c r="BK338" s="5">
        <v>1255.08233393401</v>
      </c>
      <c r="BL338" s="5">
        <v>1120.63224580298</v>
      </c>
      <c r="BM338" s="5">
        <v>1172.07824555009</v>
      </c>
      <c r="BN338" s="5">
        <v>1594.38280606099</v>
      </c>
      <c r="BO338" s="5">
        <v>1418.75114002554</v>
      </c>
      <c r="BP338" s="5">
        <v>800.789622109419</v>
      </c>
      <c r="BQ338" s="5">
        <v>1004.24757281553</v>
      </c>
      <c r="BR338" s="5">
        <v>875.072363089036</v>
      </c>
    </row>
    <row r="339" ht="15.75" customHeight="1">
      <c r="A339" s="4" t="str">
        <f t="shared" si="1"/>
        <v>Liabilities|Portfolio investment, Debt securities, Positions|Italy|Half-yearly, semester</v>
      </c>
      <c r="B339" s="4" t="s">
        <v>72</v>
      </c>
      <c r="C339" s="4" t="s">
        <v>657</v>
      </c>
      <c r="D339" s="4" t="s">
        <v>74</v>
      </c>
      <c r="E339" s="4" t="s">
        <v>75</v>
      </c>
      <c r="F339" s="4" t="s">
        <v>76</v>
      </c>
      <c r="G339" s="4" t="s">
        <v>165</v>
      </c>
      <c r="H339" s="4" t="s">
        <v>78</v>
      </c>
      <c r="I339" s="4" t="s">
        <v>78</v>
      </c>
      <c r="J339" s="4" t="s">
        <v>646</v>
      </c>
      <c r="K339" s="4" t="s">
        <v>80</v>
      </c>
      <c r="L339" s="4" t="s">
        <v>81</v>
      </c>
      <c r="BD339" s="5">
        <v>0.0892857142857143</v>
      </c>
      <c r="BE339" s="5">
        <v>0.0890287167815784</v>
      </c>
      <c r="BF339" s="5">
        <v>0.0895743534482759</v>
      </c>
      <c r="BI339" s="5">
        <v>0.0</v>
      </c>
      <c r="BM339" s="5">
        <v>0.0</v>
      </c>
      <c r="BO339" s="5">
        <v>0.0</v>
      </c>
      <c r="BR339" s="5">
        <v>0.0</v>
      </c>
    </row>
    <row r="340" ht="15.75" customHeight="1">
      <c r="A340" s="4" t="str">
        <f t="shared" si="1"/>
        <v>Liabilities|Portfolio investment, Debt securities, Positions|India|Half-yearly, semester</v>
      </c>
      <c r="B340" s="4" t="s">
        <v>72</v>
      </c>
      <c r="C340" s="4" t="s">
        <v>658</v>
      </c>
      <c r="D340" s="4" t="s">
        <v>74</v>
      </c>
      <c r="E340" s="4" t="s">
        <v>75</v>
      </c>
      <c r="F340" s="4" t="s">
        <v>76</v>
      </c>
      <c r="G340" s="4" t="s">
        <v>165</v>
      </c>
      <c r="H340" s="4" t="s">
        <v>78</v>
      </c>
      <c r="I340" s="4" t="s">
        <v>78</v>
      </c>
      <c r="J340" s="4" t="s">
        <v>659</v>
      </c>
      <c r="K340" s="4" t="s">
        <v>80</v>
      </c>
      <c r="L340" s="4" t="s">
        <v>81</v>
      </c>
      <c r="BI340" s="5">
        <v>0.0</v>
      </c>
      <c r="BM340" s="5">
        <v>0.0</v>
      </c>
      <c r="BO340" s="5">
        <v>0.0</v>
      </c>
    </row>
    <row r="341" ht="15.75" customHeight="1">
      <c r="A341" s="4" t="str">
        <f t="shared" si="1"/>
        <v>Liabilities|Portfolio investment, Debt securities, Positions|Singapore|Half-yearly, semester</v>
      </c>
      <c r="B341" s="4" t="s">
        <v>72</v>
      </c>
      <c r="C341" s="4" t="s">
        <v>660</v>
      </c>
      <c r="D341" s="4" t="s">
        <v>74</v>
      </c>
      <c r="E341" s="4" t="s">
        <v>75</v>
      </c>
      <c r="F341" s="4" t="s">
        <v>76</v>
      </c>
      <c r="G341" s="4" t="s">
        <v>165</v>
      </c>
      <c r="H341" s="4" t="s">
        <v>78</v>
      </c>
      <c r="I341" s="4" t="s">
        <v>78</v>
      </c>
      <c r="J341" s="4" t="s">
        <v>661</v>
      </c>
      <c r="K341" s="4" t="s">
        <v>80</v>
      </c>
      <c r="L341" s="4" t="s">
        <v>81</v>
      </c>
      <c r="AJ341" s="5">
        <v>19.3224785</v>
      </c>
      <c r="AL341" s="5">
        <v>11.5782331</v>
      </c>
      <c r="AW341" s="5">
        <v>233.106375600001</v>
      </c>
      <c r="BA341" s="5">
        <v>65.0051282051282</v>
      </c>
      <c r="BB341" s="5">
        <v>27.7395315826828</v>
      </c>
      <c r="BC341" s="5">
        <v>162.550050556117</v>
      </c>
      <c r="BD341" s="5">
        <v>13.953410311493</v>
      </c>
      <c r="BE341" s="5">
        <v>235.531160050874</v>
      </c>
      <c r="BF341" s="5">
        <v>738.266433189655</v>
      </c>
      <c r="BG341" s="5">
        <v>140.658655699782</v>
      </c>
      <c r="BP341" s="5">
        <v>901.579244218838</v>
      </c>
      <c r="BQ341" s="5">
        <v>1595.87378640777</v>
      </c>
      <c r="BR341" s="5">
        <v>1378.37211994906</v>
      </c>
    </row>
    <row r="342" ht="15.75" customHeight="1">
      <c r="A342" s="4" t="str">
        <f t="shared" si="1"/>
        <v>Liabilities|Portfolio investment, Debt securities, Positions|China, People's Republic of|Half-yearly, semester</v>
      </c>
      <c r="B342" s="4" t="s">
        <v>72</v>
      </c>
      <c r="C342" s="4" t="s">
        <v>662</v>
      </c>
      <c r="D342" s="4" t="s">
        <v>74</v>
      </c>
      <c r="E342" s="4" t="s">
        <v>75</v>
      </c>
      <c r="F342" s="4" t="s">
        <v>76</v>
      </c>
      <c r="G342" s="4" t="s">
        <v>165</v>
      </c>
      <c r="H342" s="4" t="s">
        <v>78</v>
      </c>
      <c r="I342" s="4" t="s">
        <v>78</v>
      </c>
      <c r="J342" s="4" t="s">
        <v>616</v>
      </c>
      <c r="K342" s="4" t="s">
        <v>80</v>
      </c>
      <c r="L342" s="4" t="s">
        <v>81</v>
      </c>
      <c r="AV342" s="5">
        <v>168.3235</v>
      </c>
      <c r="AW342" s="5">
        <v>144.377397</v>
      </c>
      <c r="BA342" s="5">
        <v>449.984615384615</v>
      </c>
      <c r="BB342" s="5">
        <v>448.594748048261</v>
      </c>
      <c r="BC342" s="5">
        <v>449.295584765757</v>
      </c>
      <c r="BD342" s="5">
        <v>463.608351235231</v>
      </c>
      <c r="BE342" s="5">
        <v>607.017872682241</v>
      </c>
      <c r="BF342" s="5">
        <v>532.428609913793</v>
      </c>
      <c r="BG342" s="5">
        <v>413.782932784989</v>
      </c>
      <c r="BI342" s="5">
        <v>151.580825752274</v>
      </c>
      <c r="BJ342" s="5">
        <v>135.257224841156</v>
      </c>
      <c r="BK342" s="5">
        <v>123.019946560616</v>
      </c>
      <c r="BL342" s="5">
        <v>125.386759581882</v>
      </c>
      <c r="BM342" s="5">
        <v>118.101573415953</v>
      </c>
      <c r="BN342" s="5">
        <v>122.89291827807</v>
      </c>
      <c r="BO342" s="5">
        <v>277.324740074178</v>
      </c>
      <c r="BP342" s="5">
        <v>264.749012972363</v>
      </c>
      <c r="BQ342" s="5">
        <v>281.067961165049</v>
      </c>
      <c r="BR342" s="5">
        <v>216.741924279264</v>
      </c>
    </row>
    <row r="343" ht="15.75" customHeight="1">
      <c r="A343" s="4" t="str">
        <f t="shared" si="1"/>
        <v>Liabilities|Portfolio investment, Debt securities, Positions|Spain|Half-yearly, semester</v>
      </c>
      <c r="B343" s="4" t="s">
        <v>72</v>
      </c>
      <c r="C343" s="4" t="s">
        <v>663</v>
      </c>
      <c r="D343" s="4" t="s">
        <v>74</v>
      </c>
      <c r="E343" s="4" t="s">
        <v>75</v>
      </c>
      <c r="F343" s="4" t="s">
        <v>76</v>
      </c>
      <c r="G343" s="4" t="s">
        <v>165</v>
      </c>
      <c r="H343" s="4" t="s">
        <v>78</v>
      </c>
      <c r="I343" s="4" t="s">
        <v>78</v>
      </c>
      <c r="J343" s="4" t="s">
        <v>664</v>
      </c>
      <c r="K343" s="4" t="s">
        <v>80</v>
      </c>
      <c r="L343" s="4" t="s">
        <v>81</v>
      </c>
      <c r="AL343" s="5">
        <v>1.4830935</v>
      </c>
      <c r="BA343" s="5">
        <v>0.122344322344322</v>
      </c>
      <c r="BB343" s="5">
        <v>0.127040454222853</v>
      </c>
      <c r="BC343" s="5">
        <v>0.102460397708123</v>
      </c>
      <c r="BD343" s="5">
        <v>0.0866004296455424</v>
      </c>
      <c r="BE343" s="5">
        <v>0.0716246067340518</v>
      </c>
      <c r="BF343" s="5">
        <v>0.076104525862069</v>
      </c>
      <c r="BI343" s="5">
        <v>0.0</v>
      </c>
      <c r="BM343" s="5">
        <v>0.0</v>
      </c>
      <c r="BO343" s="5">
        <v>0.0</v>
      </c>
      <c r="BR343" s="5">
        <v>0.0578904712284358</v>
      </c>
    </row>
    <row r="344" ht="15.75" customHeight="1">
      <c r="A344" s="4" t="str">
        <f t="shared" si="1"/>
        <v>Liabilities|Portfolio investment, Debt securities, Long-term, Positions|Malaysia|Half-yearly, semester</v>
      </c>
      <c r="B344" s="4" t="s">
        <v>72</v>
      </c>
      <c r="C344" s="4" t="s">
        <v>665</v>
      </c>
      <c r="D344" s="4" t="s">
        <v>74</v>
      </c>
      <c r="E344" s="4" t="s">
        <v>75</v>
      </c>
      <c r="F344" s="4" t="s">
        <v>76</v>
      </c>
      <c r="G344" s="4" t="s">
        <v>77</v>
      </c>
      <c r="H344" s="4" t="s">
        <v>78</v>
      </c>
      <c r="I344" s="4" t="s">
        <v>78</v>
      </c>
      <c r="J344" s="4" t="s">
        <v>666</v>
      </c>
      <c r="K344" s="4" t="s">
        <v>80</v>
      </c>
      <c r="L344" s="4" t="s">
        <v>81</v>
      </c>
      <c r="BD344" s="5">
        <v>0.589419978517723</v>
      </c>
      <c r="BE344" s="5">
        <v>0.617176517839213</v>
      </c>
      <c r="BF344" s="5">
        <v>0.668103448275862</v>
      </c>
      <c r="BG344" s="5">
        <v>0.534635650944609</v>
      </c>
      <c r="BH344" s="5">
        <v>0.601286406012864</v>
      </c>
      <c r="BI344" s="5">
        <v>1.13296011196641</v>
      </c>
      <c r="BJ344" s="5">
        <v>0.868347338935574</v>
      </c>
      <c r="BK344" s="5">
        <v>0.789784378301125</v>
      </c>
      <c r="BL344" s="5">
        <v>0.800760215394362</v>
      </c>
      <c r="BM344" s="5">
        <v>0.63787133223984</v>
      </c>
      <c r="BN344" s="5">
        <v>0.614974957205351</v>
      </c>
      <c r="BQ344" s="5">
        <v>0.970873786407767</v>
      </c>
      <c r="BR344" s="5">
        <v>0.752576125969665</v>
      </c>
    </row>
    <row r="345" ht="15.75" customHeight="1">
      <c r="A345" s="4" t="str">
        <f t="shared" si="1"/>
        <v>Liabilities|Portfolio investment, Debt securities, Positions|Cayman Islands|Half-yearly, semester</v>
      </c>
      <c r="B345" s="4" t="s">
        <v>72</v>
      </c>
      <c r="C345" s="4" t="s">
        <v>667</v>
      </c>
      <c r="D345" s="4" t="s">
        <v>74</v>
      </c>
      <c r="E345" s="4" t="s">
        <v>75</v>
      </c>
      <c r="F345" s="4" t="s">
        <v>76</v>
      </c>
      <c r="G345" s="4" t="s">
        <v>165</v>
      </c>
      <c r="H345" s="4" t="s">
        <v>78</v>
      </c>
      <c r="I345" s="4" t="s">
        <v>78</v>
      </c>
      <c r="J345" s="4" t="s">
        <v>602</v>
      </c>
      <c r="K345" s="4" t="s">
        <v>80</v>
      </c>
      <c r="L345" s="4" t="s">
        <v>81</v>
      </c>
      <c r="AV345" s="5">
        <v>0.0</v>
      </c>
      <c r="BF345" s="5">
        <v>199.320447198276</v>
      </c>
      <c r="BG345" s="5">
        <v>135.032772137257</v>
      </c>
      <c r="BH345" s="5">
        <v>231.960685119607</v>
      </c>
      <c r="BI345" s="5">
        <v>83.4772568229531</v>
      </c>
      <c r="BJ345" s="5">
        <v>51.0275329644053</v>
      </c>
      <c r="BK345" s="5">
        <v>46.4108618654073</v>
      </c>
      <c r="BL345" s="5">
        <v>19.3740893253088</v>
      </c>
      <c r="BM345" s="5">
        <v>14.1218637992832</v>
      </c>
      <c r="BN345" s="5">
        <v>21.9469980346161</v>
      </c>
      <c r="BO345" s="5">
        <v>18.9171277436615</v>
      </c>
      <c r="BP345" s="5">
        <v>45.1776649746193</v>
      </c>
      <c r="BR345" s="5">
        <v>42.6073868241288</v>
      </c>
    </row>
    <row r="346" ht="15.75" customHeight="1">
      <c r="A346" s="4" t="str">
        <f t="shared" si="1"/>
        <v>Liabilities|Portfolio investment, Debt securities, Positions|Canada|Half-yearly, semester</v>
      </c>
      <c r="B346" s="4" t="s">
        <v>72</v>
      </c>
      <c r="C346" s="4" t="s">
        <v>668</v>
      </c>
      <c r="D346" s="4" t="s">
        <v>74</v>
      </c>
      <c r="E346" s="4" t="s">
        <v>75</v>
      </c>
      <c r="F346" s="4" t="s">
        <v>76</v>
      </c>
      <c r="G346" s="4" t="s">
        <v>165</v>
      </c>
      <c r="H346" s="4" t="s">
        <v>78</v>
      </c>
      <c r="I346" s="4" t="s">
        <v>78</v>
      </c>
      <c r="J346" s="4" t="s">
        <v>669</v>
      </c>
      <c r="K346" s="4" t="s">
        <v>80</v>
      </c>
      <c r="L346" s="4" t="s">
        <v>81</v>
      </c>
      <c r="AV346" s="5">
        <v>331.166699999999</v>
      </c>
      <c r="BA346" s="5">
        <v>11.6197802197802</v>
      </c>
      <c r="BB346" s="5">
        <v>11.9772888573456</v>
      </c>
      <c r="BC346" s="5">
        <v>0.029659588810246</v>
      </c>
      <c r="BF346" s="5">
        <v>5.58189655172414</v>
      </c>
      <c r="BG346" s="5">
        <v>8.24701195219124</v>
      </c>
      <c r="BH346" s="5">
        <v>2.27650502276505</v>
      </c>
      <c r="BI346" s="5">
        <v>20.0300909727082</v>
      </c>
      <c r="BJ346" s="5">
        <v>13.0532212885154</v>
      </c>
      <c r="BK346" s="5">
        <v>11.8722425899459</v>
      </c>
      <c r="BL346" s="5">
        <v>16.5917009819449</v>
      </c>
      <c r="BM346" s="5">
        <v>-272.643217301501</v>
      </c>
      <c r="BN346" s="5">
        <v>27.1673112280479</v>
      </c>
      <c r="BO346" s="5">
        <v>484.52058126102</v>
      </c>
      <c r="BP346" s="5">
        <v>355.6119571348</v>
      </c>
      <c r="BQ346" s="5">
        <v>288.592233009709</v>
      </c>
      <c r="BR346" s="5">
        <v>61.0744471459998</v>
      </c>
    </row>
    <row r="347" ht="15.75" customHeight="1">
      <c r="A347" s="4" t="str">
        <f t="shared" si="1"/>
        <v>Liabilities|Portfolio investment, Debt securities, Long-term, Positions|New Caledonia|Half-yearly, semester</v>
      </c>
      <c r="B347" s="4" t="s">
        <v>72</v>
      </c>
      <c r="C347" s="4" t="s">
        <v>670</v>
      </c>
      <c r="D347" s="4" t="s">
        <v>74</v>
      </c>
      <c r="E347" s="4" t="s">
        <v>75</v>
      </c>
      <c r="F347" s="4" t="s">
        <v>76</v>
      </c>
      <c r="G347" s="4" t="s">
        <v>77</v>
      </c>
      <c r="H347" s="4" t="s">
        <v>78</v>
      </c>
      <c r="I347" s="4" t="s">
        <v>78</v>
      </c>
      <c r="J347" s="4" t="s">
        <v>671</v>
      </c>
      <c r="K347" s="4" t="s">
        <v>80</v>
      </c>
      <c r="L347" s="4" t="s">
        <v>81</v>
      </c>
      <c r="BR347" s="5">
        <v>0.115780942456872</v>
      </c>
    </row>
    <row r="348" ht="15.75" customHeight="1">
      <c r="A348" s="4" t="str">
        <f t="shared" si="1"/>
        <v>Liabilities|Portfolio investment, Debt securities, Long-term, Positions|Norway|Half-yearly, semester</v>
      </c>
      <c r="B348" s="4" t="s">
        <v>72</v>
      </c>
      <c r="C348" s="4" t="s">
        <v>672</v>
      </c>
      <c r="D348" s="4" t="s">
        <v>74</v>
      </c>
      <c r="E348" s="4" t="s">
        <v>75</v>
      </c>
      <c r="F348" s="4" t="s">
        <v>76</v>
      </c>
      <c r="G348" s="4" t="s">
        <v>77</v>
      </c>
      <c r="H348" s="4" t="s">
        <v>78</v>
      </c>
      <c r="I348" s="4" t="s">
        <v>78</v>
      </c>
      <c r="J348" s="4" t="s">
        <v>564</v>
      </c>
      <c r="K348" s="4" t="s">
        <v>80</v>
      </c>
      <c r="L348" s="4" t="s">
        <v>81</v>
      </c>
      <c r="AY348" s="5">
        <v>210.80397</v>
      </c>
      <c r="AZ348" s="5">
        <v>326.174482614452</v>
      </c>
      <c r="BA348" s="5">
        <v>286.249084249084</v>
      </c>
      <c r="BB348" s="5">
        <v>291.05180979418</v>
      </c>
      <c r="BC348" s="5">
        <v>293.634647792383</v>
      </c>
      <c r="BD348" s="5">
        <v>275.47261009667</v>
      </c>
      <c r="BE348" s="5">
        <v>398.876096124239</v>
      </c>
      <c r="BF348" s="5">
        <v>385.911233836207</v>
      </c>
      <c r="BG348" s="5">
        <v>351.537720087392</v>
      </c>
      <c r="BH348" s="5">
        <v>406.7500180675</v>
      </c>
      <c r="BI348" s="5">
        <v>400.307207837649</v>
      </c>
      <c r="BJ348" s="5">
        <v>370.401038464166</v>
      </c>
      <c r="BK348" s="5">
        <v>336.889330764929</v>
      </c>
      <c r="BL348" s="5">
        <v>339.91637630662</v>
      </c>
      <c r="BM348" s="5">
        <v>305.444991191301</v>
      </c>
    </row>
    <row r="349" ht="15.75" customHeight="1">
      <c r="A349" s="4" t="str">
        <f t="shared" si="1"/>
        <v>Liabilities|Portfolio investment, Debt securities, Long-term, Positions|Spain|Half-yearly, semester</v>
      </c>
      <c r="B349" s="4" t="s">
        <v>72</v>
      </c>
      <c r="C349" s="4" t="s">
        <v>673</v>
      </c>
      <c r="D349" s="4" t="s">
        <v>74</v>
      </c>
      <c r="E349" s="4" t="s">
        <v>75</v>
      </c>
      <c r="F349" s="4" t="s">
        <v>76</v>
      </c>
      <c r="G349" s="4" t="s">
        <v>77</v>
      </c>
      <c r="H349" s="4" t="s">
        <v>78</v>
      </c>
      <c r="I349" s="4" t="s">
        <v>78</v>
      </c>
      <c r="J349" s="4" t="s">
        <v>664</v>
      </c>
      <c r="K349" s="4" t="s">
        <v>80</v>
      </c>
      <c r="L349" s="4" t="s">
        <v>81</v>
      </c>
      <c r="AY349" s="5">
        <v>0.10863</v>
      </c>
      <c r="AZ349" s="5">
        <v>0.116368197338165</v>
      </c>
      <c r="BA349" s="5">
        <v>0.122344322344322</v>
      </c>
      <c r="BB349" s="5">
        <v>0.127040454222853</v>
      </c>
      <c r="BC349" s="5">
        <v>0.102460397708123</v>
      </c>
      <c r="BD349" s="5">
        <v>0.0866004296455424</v>
      </c>
      <c r="BE349" s="5">
        <v>0.0716246067340518</v>
      </c>
      <c r="BF349" s="5">
        <v>0.076104525862069</v>
      </c>
      <c r="BR349" s="5">
        <v>0.0578904712284358</v>
      </c>
    </row>
    <row r="350" ht="15.75" customHeight="1">
      <c r="A350" s="4" t="str">
        <f t="shared" si="1"/>
        <v>Liabilities|Portfolio investment, Debt securities, Long-term, Positions|India|Half-yearly, semester</v>
      </c>
      <c r="B350" s="4" t="s">
        <v>72</v>
      </c>
      <c r="C350" s="4" t="s">
        <v>674</v>
      </c>
      <c r="D350" s="4" t="s">
        <v>74</v>
      </c>
      <c r="E350" s="4" t="s">
        <v>75</v>
      </c>
      <c r="F350" s="4" t="s">
        <v>76</v>
      </c>
      <c r="G350" s="4" t="s">
        <v>77</v>
      </c>
      <c r="H350" s="4" t="s">
        <v>78</v>
      </c>
      <c r="I350" s="4" t="s">
        <v>78</v>
      </c>
      <c r="J350" s="4" t="s">
        <v>659</v>
      </c>
      <c r="K350" s="4" t="s">
        <v>80</v>
      </c>
      <c r="L350" s="4" t="s">
        <v>81</v>
      </c>
    </row>
    <row r="351" ht="15.75" customHeight="1">
      <c r="A351" s="4" t="str">
        <f t="shared" si="1"/>
        <v>Liabilities|Portfolio investment, Debt securities, Positions|United States|Half-yearly, semester</v>
      </c>
      <c r="B351" s="4" t="s">
        <v>72</v>
      </c>
      <c r="C351" s="4" t="s">
        <v>675</v>
      </c>
      <c r="D351" s="4" t="s">
        <v>74</v>
      </c>
      <c r="E351" s="4" t="s">
        <v>75</v>
      </c>
      <c r="F351" s="4" t="s">
        <v>76</v>
      </c>
      <c r="G351" s="4" t="s">
        <v>165</v>
      </c>
      <c r="H351" s="4" t="s">
        <v>78</v>
      </c>
      <c r="I351" s="4" t="s">
        <v>78</v>
      </c>
      <c r="J351" s="4" t="s">
        <v>676</v>
      </c>
      <c r="K351" s="4" t="s">
        <v>80</v>
      </c>
      <c r="L351" s="4" t="s">
        <v>81</v>
      </c>
      <c r="AF351" s="5">
        <v>13568.1039</v>
      </c>
      <c r="AH351" s="5">
        <v>16264.062</v>
      </c>
      <c r="AJ351" s="5">
        <v>16841.9335565</v>
      </c>
      <c r="AL351" s="5">
        <v>22250.7846624</v>
      </c>
      <c r="AN351" s="5">
        <v>21704.6070924</v>
      </c>
      <c r="AU351" s="5">
        <v>15924.052</v>
      </c>
      <c r="AV351" s="5">
        <v>16935.6928</v>
      </c>
      <c r="AW351" s="5">
        <v>16124.9076216</v>
      </c>
      <c r="BB351" s="5">
        <v>16916.4520936835</v>
      </c>
      <c r="BC351" s="5">
        <v>16581.9352881699</v>
      </c>
      <c r="BD351" s="5">
        <v>17786.2929645542</v>
      </c>
      <c r="BE351" s="5">
        <v>17093.3221768525</v>
      </c>
      <c r="BF351" s="5">
        <v>20261.7510775862</v>
      </c>
      <c r="BG351" s="5">
        <v>21986.1007582573</v>
      </c>
      <c r="BH351" s="5">
        <v>20078.3276721833</v>
      </c>
      <c r="BI351" s="5">
        <v>23916.0678796361</v>
      </c>
      <c r="BJ351" s="5">
        <v>29141.9081779053</v>
      </c>
      <c r="BK351" s="5">
        <v>26505.3197042192</v>
      </c>
      <c r="BL351" s="5">
        <v>24933.5533734558</v>
      </c>
      <c r="BM351" s="5">
        <v>29284.715995383</v>
      </c>
      <c r="BN351" s="5">
        <v>29532.1676282255</v>
      </c>
      <c r="BO351" s="5">
        <v>30426.0509515413</v>
      </c>
      <c r="BP351" s="5">
        <v>30794.0214326001</v>
      </c>
      <c r="BQ351" s="5">
        <v>37415.109223301</v>
      </c>
      <c r="BR351" s="5">
        <v>38123.7119370152</v>
      </c>
    </row>
    <row r="352" ht="15.75" customHeight="1">
      <c r="A352" s="4" t="str">
        <f t="shared" si="1"/>
        <v>Liabilities|Portfolio investment, Debt securities, Long-term, Positions|Germany|Half-yearly, semester</v>
      </c>
      <c r="B352" s="4" t="s">
        <v>72</v>
      </c>
      <c r="C352" s="4" t="s">
        <v>677</v>
      </c>
      <c r="D352" s="4" t="s">
        <v>74</v>
      </c>
      <c r="E352" s="4" t="s">
        <v>75</v>
      </c>
      <c r="F352" s="4" t="s">
        <v>76</v>
      </c>
      <c r="G352" s="4" t="s">
        <v>77</v>
      </c>
      <c r="H352" s="4" t="s">
        <v>78</v>
      </c>
      <c r="I352" s="4" t="s">
        <v>78</v>
      </c>
      <c r="J352" s="4" t="s">
        <v>678</v>
      </c>
      <c r="K352" s="4" t="s">
        <v>80</v>
      </c>
      <c r="L352" s="4" t="s">
        <v>81</v>
      </c>
      <c r="BD352" s="5">
        <v>236.40238990333</v>
      </c>
      <c r="BE352" s="5">
        <v>275.513755940826</v>
      </c>
      <c r="BF352" s="5">
        <v>327.136314655172</v>
      </c>
      <c r="BG352" s="5">
        <v>483.607505462023</v>
      </c>
      <c r="BH352" s="5">
        <v>455.552504155525</v>
      </c>
      <c r="BI352" s="5">
        <v>553.809657102869</v>
      </c>
      <c r="BJ352" s="5">
        <v>455.138348022136</v>
      </c>
      <c r="BK352" s="5">
        <v>413.960106878767</v>
      </c>
      <c r="BL352" s="5">
        <v>389.163129553374</v>
      </c>
      <c r="BM352" s="5">
        <v>327.139906445538</v>
      </c>
      <c r="BN352" s="5">
        <v>406.215051036582</v>
      </c>
      <c r="BO352" s="5">
        <v>490.649966559251</v>
      </c>
      <c r="BP352" s="5">
        <v>481.613085166385</v>
      </c>
      <c r="BQ352" s="5">
        <v>566.808252427185</v>
      </c>
      <c r="BR352" s="5">
        <v>554.243371541044</v>
      </c>
    </row>
    <row r="353" ht="15.75" customHeight="1">
      <c r="A353" s="4" t="str">
        <f t="shared" si="1"/>
        <v>Liabilities|Portfolio investment, Debt securities, Positions|Sri Lanka|Half-yearly, semester</v>
      </c>
      <c r="B353" s="4" t="s">
        <v>72</v>
      </c>
      <c r="C353" s="4" t="s">
        <v>679</v>
      </c>
      <c r="D353" s="4" t="s">
        <v>74</v>
      </c>
      <c r="E353" s="4" t="s">
        <v>75</v>
      </c>
      <c r="F353" s="4" t="s">
        <v>76</v>
      </c>
      <c r="G353" s="4" t="s">
        <v>165</v>
      </c>
      <c r="H353" s="4" t="s">
        <v>78</v>
      </c>
      <c r="I353" s="4" t="s">
        <v>78</v>
      </c>
      <c r="J353" s="4" t="s">
        <v>680</v>
      </c>
      <c r="K353" s="4" t="s">
        <v>80</v>
      </c>
      <c r="L353" s="4" t="s">
        <v>81</v>
      </c>
      <c r="AL353" s="5">
        <v>0.0</v>
      </c>
      <c r="BI353" s="5">
        <v>0.0</v>
      </c>
      <c r="BM353" s="5">
        <v>0.0</v>
      </c>
      <c r="BO353" s="5">
        <v>0.0</v>
      </c>
    </row>
    <row r="354" ht="15.75" customHeight="1">
      <c r="A354" s="4" t="str">
        <f t="shared" si="1"/>
        <v>Liabilities|Portfolio investment, Debt securities, Positions|Cook Islands|Half-yearly, semester</v>
      </c>
      <c r="B354" s="4" t="s">
        <v>72</v>
      </c>
      <c r="C354" s="4" t="s">
        <v>681</v>
      </c>
      <c r="D354" s="4" t="s">
        <v>74</v>
      </c>
      <c r="E354" s="4" t="s">
        <v>75</v>
      </c>
      <c r="F354" s="4" t="s">
        <v>76</v>
      </c>
      <c r="G354" s="4" t="s">
        <v>165</v>
      </c>
      <c r="H354" s="4" t="s">
        <v>78</v>
      </c>
      <c r="I354" s="4" t="s">
        <v>78</v>
      </c>
      <c r="J354" s="4" t="s">
        <v>682</v>
      </c>
      <c r="K354" s="4" t="s">
        <v>80</v>
      </c>
      <c r="L354" s="4" t="s">
        <v>81</v>
      </c>
      <c r="AL354" s="5">
        <v>0.0</v>
      </c>
      <c r="BI354" s="5">
        <v>0.0</v>
      </c>
      <c r="BM354" s="5">
        <v>0.0</v>
      </c>
      <c r="BO354" s="5">
        <v>0.0</v>
      </c>
      <c r="BR354" s="5">
        <v>0.115780942456872</v>
      </c>
    </row>
    <row r="355" ht="15.75" customHeight="1">
      <c r="A355" s="4" t="str">
        <f t="shared" si="1"/>
        <v>Liabilities|Portfolio investment, Debt securities, Positions|Germany|Half-yearly, semester</v>
      </c>
      <c r="B355" s="4" t="s">
        <v>72</v>
      </c>
      <c r="C355" s="4" t="s">
        <v>683</v>
      </c>
      <c r="D355" s="4" t="s">
        <v>74</v>
      </c>
      <c r="E355" s="4" t="s">
        <v>75</v>
      </c>
      <c r="F355" s="4" t="s">
        <v>76</v>
      </c>
      <c r="G355" s="4" t="s">
        <v>165</v>
      </c>
      <c r="H355" s="4" t="s">
        <v>78</v>
      </c>
      <c r="I355" s="4" t="s">
        <v>78</v>
      </c>
      <c r="J355" s="4" t="s">
        <v>678</v>
      </c>
      <c r="K355" s="4" t="s">
        <v>80</v>
      </c>
      <c r="L355" s="4" t="s">
        <v>81</v>
      </c>
      <c r="AL355" s="5">
        <v>12.9768877</v>
      </c>
      <c r="AU355" s="5">
        <v>72.8408</v>
      </c>
      <c r="AW355" s="5">
        <v>82.2733200000002</v>
      </c>
      <c r="BD355" s="5">
        <v>236.40238990333</v>
      </c>
      <c r="BE355" s="5">
        <v>275.513755940826</v>
      </c>
      <c r="BF355" s="5">
        <v>327.136314655172</v>
      </c>
      <c r="BG355" s="5">
        <v>483.607505462023</v>
      </c>
      <c r="BH355" s="5">
        <v>455.552504155525</v>
      </c>
      <c r="BI355" s="5">
        <v>553.809657102869</v>
      </c>
      <c r="BJ355" s="5">
        <v>455.138348022136</v>
      </c>
      <c r="BK355" s="5">
        <v>413.960106878767</v>
      </c>
      <c r="BL355" s="5">
        <v>389.163129553374</v>
      </c>
      <c r="BM355" s="5">
        <v>327.139906445538</v>
      </c>
      <c r="BN355" s="5">
        <v>406.287326443923</v>
      </c>
      <c r="BO355" s="5">
        <v>490.989238158935</v>
      </c>
      <c r="BP355" s="5">
        <v>481.782289904117</v>
      </c>
      <c r="BQ355" s="5">
        <v>566.929611650485</v>
      </c>
      <c r="BR355" s="5">
        <v>554.474933425958</v>
      </c>
    </row>
    <row r="356" ht="15.75" customHeight="1">
      <c r="A356" s="4" t="str">
        <f t="shared" si="1"/>
        <v>Liabilities|Portfolio investment, Debt securities, Positions|New Caledonia|Half-yearly, semester</v>
      </c>
      <c r="B356" s="4" t="s">
        <v>72</v>
      </c>
      <c r="C356" s="4" t="s">
        <v>684</v>
      </c>
      <c r="D356" s="4" t="s">
        <v>74</v>
      </c>
      <c r="E356" s="4" t="s">
        <v>75</v>
      </c>
      <c r="F356" s="4" t="s">
        <v>76</v>
      </c>
      <c r="G356" s="4" t="s">
        <v>165</v>
      </c>
      <c r="H356" s="4" t="s">
        <v>78</v>
      </c>
      <c r="I356" s="4" t="s">
        <v>78</v>
      </c>
      <c r="J356" s="4" t="s">
        <v>671</v>
      </c>
      <c r="K356" s="4" t="s">
        <v>80</v>
      </c>
      <c r="L356" s="4" t="s">
        <v>81</v>
      </c>
      <c r="AL356" s="5">
        <v>0.0</v>
      </c>
      <c r="BI356" s="5">
        <v>0.0</v>
      </c>
      <c r="BM356" s="5">
        <v>0.0</v>
      </c>
      <c r="BO356" s="5">
        <v>0.0</v>
      </c>
      <c r="BR356" s="5">
        <v>0.115780942456872</v>
      </c>
    </row>
    <row r="357" ht="15.75" customHeight="1">
      <c r="A357" s="4" t="str">
        <f t="shared" si="1"/>
        <v>Liabilities|Portfolio investment, Debt securities, Long-term, Positions|Not Specified (including Confidential)|Half-yearly, semester</v>
      </c>
      <c r="B357" s="4" t="s">
        <v>72</v>
      </c>
      <c r="C357" s="4" t="s">
        <v>685</v>
      </c>
      <c r="D357" s="4" t="s">
        <v>74</v>
      </c>
      <c r="E357" s="4" t="s">
        <v>75</v>
      </c>
      <c r="F357" s="4" t="s">
        <v>76</v>
      </c>
      <c r="G357" s="4" t="s">
        <v>77</v>
      </c>
      <c r="H357" s="4" t="s">
        <v>78</v>
      </c>
      <c r="I357" s="4" t="s">
        <v>78</v>
      </c>
      <c r="J357" s="4" t="s">
        <v>686</v>
      </c>
      <c r="K357" s="4" t="s">
        <v>80</v>
      </c>
      <c r="L357" s="4" t="s">
        <v>81</v>
      </c>
      <c r="AJ357" s="5">
        <v>29463.6598620001</v>
      </c>
      <c r="AL357" s="5">
        <v>13287.2028226</v>
      </c>
      <c r="AN357" s="5">
        <v>43172.2261726</v>
      </c>
      <c r="AU357" s="5">
        <v>46229.3352</v>
      </c>
      <c r="AV357" s="5">
        <v>43147.9676999999</v>
      </c>
      <c r="AW357" s="5">
        <v>66149.5912200002</v>
      </c>
      <c r="AX357" s="5">
        <v>39387.3457663999</v>
      </c>
      <c r="AY357" s="5">
        <v>42436.8739500001</v>
      </c>
      <c r="AZ357" s="5">
        <v>37851.6772350359</v>
      </c>
      <c r="BA357" s="5">
        <v>42887.7223443223</v>
      </c>
      <c r="BB357" s="5">
        <v>40806.5379701916</v>
      </c>
      <c r="BC357" s="5">
        <v>38896.2136838558</v>
      </c>
      <c r="BD357" s="5">
        <v>36568.1807196563</v>
      </c>
      <c r="BE357" s="5">
        <v>34884.4768726153</v>
      </c>
      <c r="BF357" s="5">
        <v>37343.9480064655</v>
      </c>
      <c r="BG357" s="5">
        <v>36203.739236602</v>
      </c>
      <c r="BH357" s="5">
        <v>42306.1097058611</v>
      </c>
      <c r="BI357" s="5">
        <v>35916.0279916025</v>
      </c>
      <c r="BJ357" s="5">
        <v>43851.9990435199</v>
      </c>
      <c r="BK357" s="5">
        <v>39884.5280556764</v>
      </c>
      <c r="BL357" s="5">
        <v>43110.2502375673</v>
      </c>
      <c r="BM357" s="5">
        <v>47224.8356721949</v>
      </c>
      <c r="BN357" s="5">
        <v>52322.9943574463</v>
      </c>
      <c r="BO357" s="5">
        <v>51665.3049188302</v>
      </c>
      <c r="BP357" s="5">
        <v>74848.5617597293</v>
      </c>
      <c r="BQ357" s="5">
        <v>84622.5121359223</v>
      </c>
      <c r="BR357" s="5">
        <v>87284.0685423179</v>
      </c>
    </row>
    <row r="358" ht="15.75" customHeight="1">
      <c r="A358" s="4" t="str">
        <f t="shared" si="1"/>
        <v>Liabilities|Portfolio investment, Debt securities, Positions|Fiji, Republic of|Half-yearly, semester</v>
      </c>
      <c r="B358" s="4" t="s">
        <v>72</v>
      </c>
      <c r="C358" s="4" t="s">
        <v>687</v>
      </c>
      <c r="D358" s="4" t="s">
        <v>74</v>
      </c>
      <c r="E358" s="4" t="s">
        <v>75</v>
      </c>
      <c r="F358" s="4" t="s">
        <v>76</v>
      </c>
      <c r="G358" s="4" t="s">
        <v>165</v>
      </c>
      <c r="H358" s="4" t="s">
        <v>78</v>
      </c>
      <c r="I358" s="4" t="s">
        <v>78</v>
      </c>
      <c r="J358" s="4" t="s">
        <v>688</v>
      </c>
      <c r="K358" s="4" t="s">
        <v>80</v>
      </c>
      <c r="L358" s="4" t="s">
        <v>81</v>
      </c>
      <c r="AL358" s="5">
        <v>0.0</v>
      </c>
      <c r="BI358" s="5">
        <v>0.0</v>
      </c>
    </row>
    <row r="359" ht="15.75" customHeight="1">
      <c r="A359" s="4" t="str">
        <f t="shared" si="1"/>
        <v>Liabilities|Portfolio investment, Debt securities, Positions|Malaysia|Half-yearly, semester</v>
      </c>
      <c r="B359" s="4" t="s">
        <v>72</v>
      </c>
      <c r="C359" s="4" t="s">
        <v>689</v>
      </c>
      <c r="D359" s="4" t="s">
        <v>74</v>
      </c>
      <c r="E359" s="4" t="s">
        <v>75</v>
      </c>
      <c r="F359" s="4" t="s">
        <v>76</v>
      </c>
      <c r="G359" s="4" t="s">
        <v>165</v>
      </c>
      <c r="H359" s="4" t="s">
        <v>78</v>
      </c>
      <c r="I359" s="4" t="s">
        <v>78</v>
      </c>
      <c r="J359" s="4" t="s">
        <v>666</v>
      </c>
      <c r="K359" s="4" t="s">
        <v>80</v>
      </c>
      <c r="L359" s="4" t="s">
        <v>81</v>
      </c>
      <c r="AN359" s="5">
        <v>0.9486086</v>
      </c>
      <c r="AV359" s="5">
        <v>14.0922</v>
      </c>
      <c r="AW359" s="5">
        <v>8.12636640000002</v>
      </c>
      <c r="BD359" s="5">
        <v>0.589419978517723</v>
      </c>
      <c r="BE359" s="5">
        <v>0.617176517839213</v>
      </c>
      <c r="BF359" s="5">
        <v>0.668103448275862</v>
      </c>
      <c r="BG359" s="5">
        <v>0.534635650944609</v>
      </c>
      <c r="BH359" s="5">
        <v>0.601286406012864</v>
      </c>
      <c r="BI359" s="5">
        <v>1.13296011196641</v>
      </c>
      <c r="BJ359" s="5">
        <v>0.868347338935574</v>
      </c>
      <c r="BK359" s="5">
        <v>0.789784378301125</v>
      </c>
      <c r="BL359" s="5">
        <v>0.800760215394362</v>
      </c>
      <c r="BM359" s="5">
        <v>0.63787133223984</v>
      </c>
      <c r="BN359" s="5">
        <v>0.614974957205351</v>
      </c>
      <c r="BQ359" s="5">
        <v>0.970873786407767</v>
      </c>
      <c r="BR359" s="5">
        <v>0.752576125969665</v>
      </c>
    </row>
    <row r="360" ht="15.75" customHeight="1">
      <c r="A360" s="4" t="str">
        <f t="shared" si="1"/>
        <v>Liabilities|Portfolio investment, Debt securities, Long-term, Positions|Singapore|Half-yearly, semester</v>
      </c>
      <c r="B360" s="4" t="s">
        <v>72</v>
      </c>
      <c r="C360" s="4" t="s">
        <v>690</v>
      </c>
      <c r="D360" s="4" t="s">
        <v>74</v>
      </c>
      <c r="E360" s="4" t="s">
        <v>75</v>
      </c>
      <c r="F360" s="4" t="s">
        <v>76</v>
      </c>
      <c r="G360" s="4" t="s">
        <v>77</v>
      </c>
      <c r="H360" s="4" t="s">
        <v>78</v>
      </c>
      <c r="I360" s="4" t="s">
        <v>78</v>
      </c>
      <c r="J360" s="4" t="s">
        <v>661</v>
      </c>
      <c r="K360" s="4" t="s">
        <v>80</v>
      </c>
      <c r="L360" s="4" t="s">
        <v>81</v>
      </c>
      <c r="AL360" s="5">
        <v>4.2594734</v>
      </c>
      <c r="AX360" s="5">
        <v>127.5083904</v>
      </c>
      <c r="AY360" s="5">
        <v>113.0533</v>
      </c>
      <c r="AZ360" s="5">
        <v>103.698000139363</v>
      </c>
      <c r="BA360" s="5">
        <v>65.0051282051282</v>
      </c>
      <c r="BB360" s="5">
        <v>12.7118523775728</v>
      </c>
      <c r="BC360" s="5">
        <v>162.550050556117</v>
      </c>
      <c r="BD360" s="5">
        <v>13.953410311493</v>
      </c>
      <c r="BE360" s="5">
        <v>235.531160050874</v>
      </c>
      <c r="BF360" s="5">
        <v>738.266433189655</v>
      </c>
      <c r="BG360" s="5">
        <v>140.658655699782</v>
      </c>
      <c r="BH360" s="5">
        <v>63.4863048348631</v>
      </c>
      <c r="BI360" s="5">
        <v>66.5969209237229</v>
      </c>
      <c r="BJ360" s="5">
        <v>267.118945139031</v>
      </c>
      <c r="BK360" s="5">
        <v>242.951593860685</v>
      </c>
      <c r="BL360" s="5">
        <v>1058.269876465</v>
      </c>
      <c r="BN360" s="5">
        <v>1567.33722183478</v>
      </c>
      <c r="BO360" s="5">
        <v>1765.69465556029</v>
      </c>
    </row>
    <row r="361" ht="15.75" customHeight="1">
      <c r="A361" s="4" t="str">
        <f t="shared" si="1"/>
        <v>Liabilities|Portfolio investment, Debt securities, Long-term, Positions|Bermuda|Half-yearly, semester</v>
      </c>
      <c r="B361" s="4" t="s">
        <v>72</v>
      </c>
      <c r="C361" s="4" t="s">
        <v>691</v>
      </c>
      <c r="D361" s="4" t="s">
        <v>74</v>
      </c>
      <c r="E361" s="4" t="s">
        <v>75</v>
      </c>
      <c r="F361" s="4" t="s">
        <v>76</v>
      </c>
      <c r="G361" s="4" t="s">
        <v>77</v>
      </c>
      <c r="H361" s="4" t="s">
        <v>78</v>
      </c>
      <c r="I361" s="4" t="s">
        <v>78</v>
      </c>
      <c r="J361" s="4" t="s">
        <v>692</v>
      </c>
      <c r="K361" s="4" t="s">
        <v>80</v>
      </c>
      <c r="L361" s="4" t="s">
        <v>81</v>
      </c>
      <c r="AZ361" s="5">
        <v>78.2523865932688</v>
      </c>
      <c r="BA361" s="5">
        <v>65.1282051282051</v>
      </c>
      <c r="BB361" s="5">
        <v>62.8105039034776</v>
      </c>
      <c r="BC361" s="5">
        <v>114.930906639703</v>
      </c>
      <c r="BD361" s="5">
        <v>24.906015037594</v>
      </c>
      <c r="BE361" s="5">
        <v>60.4458129727559</v>
      </c>
      <c r="BF361" s="5">
        <v>62.2097252155172</v>
      </c>
      <c r="BG361" s="5">
        <v>94.1999742963629</v>
      </c>
      <c r="BH361" s="5">
        <v>90.5687649056876</v>
      </c>
      <c r="BI361" s="5">
        <v>23.7347795661302</v>
      </c>
      <c r="BJ361" s="5">
        <v>8.99637903942065</v>
      </c>
      <c r="BK361" s="5">
        <v>8.18243956999938</v>
      </c>
      <c r="BL361" s="5">
        <v>8.61450744377574</v>
      </c>
      <c r="BM361" s="5">
        <v>7.14051394204483</v>
      </c>
      <c r="BN361" s="5">
        <v>6.01344068978634</v>
      </c>
      <c r="BO361" s="5">
        <v>14.1247643947224</v>
      </c>
      <c r="BP361" s="5">
        <v>17.4844895657078</v>
      </c>
      <c r="BQ361" s="5">
        <v>9.22330097087379</v>
      </c>
      <c r="BR361" s="5">
        <v>0.173671413685307</v>
      </c>
    </row>
    <row r="362" ht="15.75" customHeight="1">
      <c r="A362" s="4" t="str">
        <f t="shared" si="1"/>
        <v>Liabilities|Portfolio investment, Debt securities, Long-term, Positions|Fiji, Republic of|Half-yearly, semester</v>
      </c>
      <c r="B362" s="4" t="s">
        <v>72</v>
      </c>
      <c r="C362" s="4" t="s">
        <v>693</v>
      </c>
      <c r="D362" s="4" t="s">
        <v>74</v>
      </c>
      <c r="E362" s="4" t="s">
        <v>75</v>
      </c>
      <c r="F362" s="4" t="s">
        <v>76</v>
      </c>
      <c r="G362" s="4" t="s">
        <v>77</v>
      </c>
      <c r="H362" s="4" t="s">
        <v>78</v>
      </c>
      <c r="I362" s="4" t="s">
        <v>78</v>
      </c>
      <c r="J362" s="4" t="s">
        <v>688</v>
      </c>
      <c r="K362" s="4" t="s">
        <v>80</v>
      </c>
      <c r="L362" s="4" t="s">
        <v>81</v>
      </c>
      <c r="BQ362" s="5">
        <v>102.54854368932</v>
      </c>
    </row>
    <row r="363" ht="15.75" customHeight="1">
      <c r="A363" s="4" t="str">
        <f t="shared" si="1"/>
        <v>Liabilities|Portfolio investment, Debt securities, Positions|Norway|Half-yearly, semester</v>
      </c>
      <c r="B363" s="4" t="s">
        <v>72</v>
      </c>
      <c r="C363" s="4" t="s">
        <v>694</v>
      </c>
      <c r="D363" s="4" t="s">
        <v>74</v>
      </c>
      <c r="E363" s="4" t="s">
        <v>75</v>
      </c>
      <c r="F363" s="4" t="s">
        <v>76</v>
      </c>
      <c r="G363" s="4" t="s">
        <v>165</v>
      </c>
      <c r="H363" s="4" t="s">
        <v>78</v>
      </c>
      <c r="I363" s="4" t="s">
        <v>78</v>
      </c>
      <c r="J363" s="4" t="s">
        <v>564</v>
      </c>
      <c r="K363" s="4" t="s">
        <v>80</v>
      </c>
      <c r="L363" s="4" t="s">
        <v>81</v>
      </c>
      <c r="AL363" s="5">
        <v>0.0</v>
      </c>
      <c r="AY363" s="5">
        <v>210.80397</v>
      </c>
      <c r="AZ363" s="5">
        <v>326.174482614452</v>
      </c>
      <c r="BA363" s="5">
        <v>286.249084249084</v>
      </c>
      <c r="BB363" s="5">
        <v>291.05180979418</v>
      </c>
      <c r="BC363" s="5">
        <v>293.634647792383</v>
      </c>
      <c r="BD363" s="5">
        <v>275.47261009667</v>
      </c>
      <c r="BE363" s="5">
        <v>398.876096124239</v>
      </c>
      <c r="BF363" s="5">
        <v>385.911233836207</v>
      </c>
      <c r="BG363" s="5">
        <v>351.537720087392</v>
      </c>
      <c r="BH363" s="5">
        <v>406.7500180675</v>
      </c>
      <c r="BI363" s="5">
        <v>400.307207837649</v>
      </c>
      <c r="BJ363" s="5">
        <v>370.401038464166</v>
      </c>
      <c r="BK363" s="5">
        <v>336.889330764929</v>
      </c>
      <c r="BL363" s="5">
        <v>339.91637630662</v>
      </c>
      <c r="BM363" s="5">
        <v>305.444991191301</v>
      </c>
    </row>
    <row r="364" ht="15.75" customHeight="1">
      <c r="A364" s="4" t="str">
        <f t="shared" si="1"/>
        <v>Liabilities|Portfolio investment, Debt securities, Positions|Estonia, Republic of|Half-yearly, semester</v>
      </c>
      <c r="B364" s="4" t="s">
        <v>72</v>
      </c>
      <c r="C364" s="4" t="s">
        <v>695</v>
      </c>
      <c r="D364" s="4" t="s">
        <v>74</v>
      </c>
      <c r="E364" s="4" t="s">
        <v>75</v>
      </c>
      <c r="F364" s="4" t="s">
        <v>76</v>
      </c>
      <c r="G364" s="4" t="s">
        <v>165</v>
      </c>
      <c r="H364" s="4" t="s">
        <v>78</v>
      </c>
      <c r="I364" s="4" t="s">
        <v>78</v>
      </c>
      <c r="J364" s="4" t="s">
        <v>547</v>
      </c>
      <c r="K364" s="4" t="s">
        <v>80</v>
      </c>
      <c r="L364" s="4" t="s">
        <v>81</v>
      </c>
      <c r="AL364" s="5">
        <v>0.0</v>
      </c>
      <c r="BI364" s="5">
        <v>0.0</v>
      </c>
      <c r="BM364" s="5">
        <v>0.0</v>
      </c>
      <c r="BO364" s="5">
        <v>0.0</v>
      </c>
      <c r="BR364" s="5">
        <v>0.0</v>
      </c>
    </row>
    <row r="365" ht="15.75" customHeight="1">
      <c r="A365" s="4" t="str">
        <f t="shared" si="1"/>
        <v>Liabilities|Portfolio investment, Debt securities, Positions|Philippines|Half-yearly, semester</v>
      </c>
      <c r="B365" s="4" t="s">
        <v>72</v>
      </c>
      <c r="C365" s="4" t="s">
        <v>696</v>
      </c>
      <c r="D365" s="4" t="s">
        <v>74</v>
      </c>
      <c r="E365" s="4" t="s">
        <v>75</v>
      </c>
      <c r="F365" s="4" t="s">
        <v>76</v>
      </c>
      <c r="G365" s="4" t="s">
        <v>165</v>
      </c>
      <c r="H365" s="4" t="s">
        <v>78</v>
      </c>
      <c r="I365" s="4" t="s">
        <v>78</v>
      </c>
      <c r="J365" s="4" t="s">
        <v>650</v>
      </c>
      <c r="K365" s="4" t="s">
        <v>80</v>
      </c>
      <c r="L365" s="4" t="s">
        <v>81</v>
      </c>
      <c r="AL365" s="5">
        <v>0.0</v>
      </c>
      <c r="BD365" s="5">
        <v>54.7858485499463</v>
      </c>
      <c r="BI365" s="5">
        <v>0.0</v>
      </c>
      <c r="BM365" s="5">
        <v>0.0</v>
      </c>
    </row>
    <row r="366" ht="15.75" customHeight="1">
      <c r="A366" s="4" t="str">
        <f t="shared" si="1"/>
        <v>Liabilities|Portfolio investment, Debt securities, Positions|Austria|Half-yearly, semester</v>
      </c>
      <c r="B366" s="4" t="s">
        <v>72</v>
      </c>
      <c r="C366" s="4" t="s">
        <v>697</v>
      </c>
      <c r="D366" s="4" t="s">
        <v>74</v>
      </c>
      <c r="E366" s="4" t="s">
        <v>75</v>
      </c>
      <c r="F366" s="4" t="s">
        <v>76</v>
      </c>
      <c r="G366" s="4" t="s">
        <v>165</v>
      </c>
      <c r="H366" s="4" t="s">
        <v>78</v>
      </c>
      <c r="I366" s="4" t="s">
        <v>78</v>
      </c>
      <c r="J366" s="4" t="s">
        <v>604</v>
      </c>
      <c r="K366" s="4" t="s">
        <v>80</v>
      </c>
      <c r="L366" s="4" t="s">
        <v>81</v>
      </c>
      <c r="AL366" s="5">
        <v>10.4660934</v>
      </c>
      <c r="AV366" s="5">
        <v>6.26319999999999</v>
      </c>
      <c r="BI366" s="5">
        <v>0.0</v>
      </c>
      <c r="BM366" s="5">
        <v>0.0</v>
      </c>
      <c r="BO366" s="5">
        <v>0.0</v>
      </c>
      <c r="BR366" s="5">
        <v>0.0</v>
      </c>
    </row>
    <row r="367" ht="15.75" customHeight="1">
      <c r="A367" s="4" t="str">
        <f t="shared" si="1"/>
        <v>Liabilities|Portfolio investment, Debt securities, Long-term, Positions|Lao People's Democratic Republic|Half-yearly, semester</v>
      </c>
      <c r="B367" s="4" t="s">
        <v>72</v>
      </c>
      <c r="C367" s="4" t="s">
        <v>698</v>
      </c>
      <c r="D367" s="4" t="s">
        <v>74</v>
      </c>
      <c r="E367" s="4" t="s">
        <v>75</v>
      </c>
      <c r="F367" s="4" t="s">
        <v>76</v>
      </c>
      <c r="G367" s="4" t="s">
        <v>77</v>
      </c>
      <c r="H367" s="4" t="s">
        <v>78</v>
      </c>
      <c r="I367" s="4" t="s">
        <v>78</v>
      </c>
      <c r="J367" s="4" t="s">
        <v>641</v>
      </c>
      <c r="K367" s="4" t="s">
        <v>80</v>
      </c>
      <c r="L367" s="4" t="s">
        <v>81</v>
      </c>
      <c r="BR367" s="5">
        <v>0.115780942456872</v>
      </c>
    </row>
    <row r="368" ht="15.75" customHeight="1">
      <c r="A368" s="4" t="str">
        <f t="shared" si="1"/>
        <v>Liabilities|Portfolio investment, Debt securities, Positions|Bermuda|Half-yearly, semester</v>
      </c>
      <c r="B368" s="4" t="s">
        <v>72</v>
      </c>
      <c r="C368" s="4" t="s">
        <v>699</v>
      </c>
      <c r="D368" s="4" t="s">
        <v>74</v>
      </c>
      <c r="E368" s="4" t="s">
        <v>75</v>
      </c>
      <c r="F368" s="4" t="s">
        <v>76</v>
      </c>
      <c r="G368" s="4" t="s">
        <v>165</v>
      </c>
      <c r="H368" s="4" t="s">
        <v>78</v>
      </c>
      <c r="I368" s="4" t="s">
        <v>78</v>
      </c>
      <c r="J368" s="4" t="s">
        <v>692</v>
      </c>
      <c r="K368" s="4" t="s">
        <v>80</v>
      </c>
      <c r="L368" s="4" t="s">
        <v>81</v>
      </c>
      <c r="AZ368" s="5">
        <v>78.2523865932688</v>
      </c>
      <c r="BA368" s="5">
        <v>65.1282051282051</v>
      </c>
      <c r="BB368" s="5">
        <v>62.8105039034776</v>
      </c>
      <c r="BC368" s="5">
        <v>114.930906639703</v>
      </c>
      <c r="BD368" s="5">
        <v>24.906015037594</v>
      </c>
      <c r="BE368" s="5">
        <v>60.4458129727559</v>
      </c>
      <c r="BF368" s="5">
        <v>62.2097252155172</v>
      </c>
      <c r="BG368" s="5">
        <v>94.1999742963629</v>
      </c>
      <c r="BH368" s="5">
        <v>90.5687649056876</v>
      </c>
      <c r="BI368" s="5">
        <v>23.7347795661302</v>
      </c>
      <c r="BJ368" s="5">
        <v>8.99637903942065</v>
      </c>
      <c r="BK368" s="5">
        <v>8.18243956999938</v>
      </c>
      <c r="BL368" s="5">
        <v>8.61450744377574</v>
      </c>
      <c r="BM368" s="5">
        <v>7.14051394204483</v>
      </c>
      <c r="BN368" s="5">
        <v>6.01344068978634</v>
      </c>
      <c r="BO368" s="5">
        <v>14.1247643947224</v>
      </c>
      <c r="BP368" s="5">
        <v>17.4844895657078</v>
      </c>
      <c r="BQ368" s="5">
        <v>9.22330097087379</v>
      </c>
      <c r="BR368" s="5">
        <v>0.173671413685307</v>
      </c>
    </row>
    <row r="369" ht="15.75" customHeight="1">
      <c r="A369" s="4" t="str">
        <f t="shared" si="1"/>
        <v>Liabilities|Portfolio investment, Debt securities, Long-term, Positions|South Africa|Half-yearly, semester</v>
      </c>
      <c r="B369" s="4" t="s">
        <v>72</v>
      </c>
      <c r="C369" s="4" t="s">
        <v>700</v>
      </c>
      <c r="D369" s="4" t="s">
        <v>74</v>
      </c>
      <c r="E369" s="4" t="s">
        <v>75</v>
      </c>
      <c r="F369" s="4" t="s">
        <v>76</v>
      </c>
      <c r="G369" s="4" t="s">
        <v>77</v>
      </c>
      <c r="H369" s="4" t="s">
        <v>78</v>
      </c>
      <c r="I369" s="4" t="s">
        <v>78</v>
      </c>
      <c r="J369" s="4" t="s">
        <v>644</v>
      </c>
      <c r="K369" s="4" t="s">
        <v>80</v>
      </c>
      <c r="L369" s="4" t="s">
        <v>81</v>
      </c>
      <c r="BQ369" s="5">
        <v>0.606796116504854</v>
      </c>
      <c r="BR369" s="5">
        <v>0.926247539654973</v>
      </c>
    </row>
    <row r="370" ht="15.75" customHeight="1">
      <c r="A370" s="4" t="str">
        <f t="shared" si="1"/>
        <v>Liabilities|Portfolio investment, Debt securities, Positions|France|Half-yearly, semester</v>
      </c>
      <c r="B370" s="4" t="s">
        <v>72</v>
      </c>
      <c r="C370" s="4" t="s">
        <v>701</v>
      </c>
      <c r="D370" s="4" t="s">
        <v>74</v>
      </c>
      <c r="E370" s="4" t="s">
        <v>75</v>
      </c>
      <c r="F370" s="4" t="s">
        <v>76</v>
      </c>
      <c r="G370" s="4" t="s">
        <v>165</v>
      </c>
      <c r="H370" s="4" t="s">
        <v>78</v>
      </c>
      <c r="I370" s="4" t="s">
        <v>78</v>
      </c>
      <c r="J370" s="4" t="s">
        <v>610</v>
      </c>
      <c r="K370" s="4" t="s">
        <v>80</v>
      </c>
      <c r="L370" s="4" t="s">
        <v>81</v>
      </c>
      <c r="AL370" s="5">
        <v>11.2549115</v>
      </c>
      <c r="AV370" s="5">
        <v>9.39479999999998</v>
      </c>
      <c r="AW370" s="5">
        <v>12.276189</v>
      </c>
      <c r="BD370" s="5">
        <v>33.6345327604726</v>
      </c>
      <c r="BE370" s="5">
        <v>34.55719927706</v>
      </c>
      <c r="BH370" s="5">
        <v>0.031798800317988</v>
      </c>
      <c r="BI370" s="5">
        <v>0.0</v>
      </c>
      <c r="BM370" s="5">
        <v>0.0</v>
      </c>
      <c r="BO370" s="5">
        <v>0.0</v>
      </c>
    </row>
    <row r="371" ht="15.75" customHeight="1">
      <c r="A371" s="4" t="str">
        <f t="shared" si="1"/>
        <v>Liabilities|Portfolio investment, Debt securities, Long-term, Positions|Australia|Half-yearly, semester</v>
      </c>
      <c r="B371" s="4" t="s">
        <v>72</v>
      </c>
      <c r="C371" s="4" t="s">
        <v>702</v>
      </c>
      <c r="D371" s="4" t="s">
        <v>74</v>
      </c>
      <c r="E371" s="4" t="s">
        <v>75</v>
      </c>
      <c r="F371" s="4" t="s">
        <v>76</v>
      </c>
      <c r="G371" s="4" t="s">
        <v>77</v>
      </c>
      <c r="H371" s="4" t="s">
        <v>78</v>
      </c>
      <c r="I371" s="4" t="s">
        <v>78</v>
      </c>
      <c r="J371" s="4" t="s">
        <v>703</v>
      </c>
      <c r="K371" s="4" t="s">
        <v>80</v>
      </c>
      <c r="L371" s="4" t="s">
        <v>81</v>
      </c>
      <c r="AJ371" s="5">
        <v>1723.3486075</v>
      </c>
      <c r="AL371" s="5">
        <v>2562.8014454</v>
      </c>
      <c r="AU371" s="5">
        <v>10616.3272</v>
      </c>
      <c r="AV371" s="5">
        <v>9842.61879999998</v>
      </c>
      <c r="AW371" s="5">
        <v>8740.32388740002</v>
      </c>
      <c r="AX371" s="5">
        <v>9393.28723839997</v>
      </c>
      <c r="AY371" s="5">
        <v>10241.27998</v>
      </c>
      <c r="AZ371" s="5">
        <v>10252.489025155</v>
      </c>
      <c r="BA371" s="5">
        <v>10686.1553113553</v>
      </c>
      <c r="BB371" s="5">
        <v>10974.7806955287</v>
      </c>
      <c r="BC371" s="5">
        <v>12768.7374452309</v>
      </c>
      <c r="BD371" s="5">
        <v>12149.9234693878</v>
      </c>
      <c r="BE371" s="5">
        <v>16442.4298815182</v>
      </c>
      <c r="BF371" s="5">
        <v>16768.5418911638</v>
      </c>
      <c r="BG371" s="5">
        <v>15800.858501478</v>
      </c>
      <c r="BH371" s="5">
        <v>17894.2292404423</v>
      </c>
      <c r="BI371" s="5">
        <v>19700.6081175647</v>
      </c>
      <c r="BJ371" s="5">
        <v>14315.68764091</v>
      </c>
      <c r="BK371" s="5">
        <v>13020.4884111104</v>
      </c>
      <c r="BL371" s="5">
        <v>11064.1887868229</v>
      </c>
      <c r="BM371" s="5">
        <v>10917.8907721281</v>
      </c>
      <c r="BN371" s="5">
        <v>12415.0250427947</v>
      </c>
      <c r="BO371" s="5">
        <v>12879.6576883322</v>
      </c>
    </row>
    <row r="372" ht="15.75" customHeight="1">
      <c r="A372" s="4" t="str">
        <f t="shared" si="1"/>
        <v>Liabilities|Portfolio investment, Debt securities, Long-term, Positions|Luxembourg|Half-yearly, semester</v>
      </c>
      <c r="B372" s="4" t="s">
        <v>72</v>
      </c>
      <c r="C372" s="4" t="s">
        <v>704</v>
      </c>
      <c r="D372" s="4" t="s">
        <v>74</v>
      </c>
      <c r="E372" s="4" t="s">
        <v>75</v>
      </c>
      <c r="F372" s="4" t="s">
        <v>76</v>
      </c>
      <c r="G372" s="4" t="s">
        <v>77</v>
      </c>
      <c r="H372" s="4" t="s">
        <v>78</v>
      </c>
      <c r="I372" s="4" t="s">
        <v>78</v>
      </c>
      <c r="J372" s="4" t="s">
        <v>705</v>
      </c>
      <c r="K372" s="4" t="s">
        <v>80</v>
      </c>
      <c r="L372" s="4" t="s">
        <v>81</v>
      </c>
      <c r="AY372" s="5">
        <v>1.20416</v>
      </c>
      <c r="AZ372" s="5">
        <v>1.36366803707059</v>
      </c>
      <c r="BA372" s="5">
        <v>1.74432234432234</v>
      </c>
      <c r="BB372" s="5">
        <v>0.999290276792051</v>
      </c>
      <c r="BC372" s="5">
        <v>0.787327266599258</v>
      </c>
      <c r="BD372" s="5">
        <v>1.11170784103115</v>
      </c>
      <c r="BE372" s="5">
        <v>0.423723140772475</v>
      </c>
      <c r="BF372" s="5">
        <v>0.668776939655172</v>
      </c>
      <c r="BG372" s="5">
        <v>0.594396607119908</v>
      </c>
      <c r="BH372" s="5">
        <v>0.581050805810508</v>
      </c>
    </row>
    <row r="373" ht="15.75" customHeight="1">
      <c r="A373" s="4" t="str">
        <f t="shared" si="1"/>
        <v>Liabilities|Portfolio investment, Debt securities, Positions|French Polynesia|Half-yearly, semester</v>
      </c>
      <c r="B373" s="4" t="s">
        <v>72</v>
      </c>
      <c r="C373" s="4" t="s">
        <v>706</v>
      </c>
      <c r="D373" s="4" t="s">
        <v>74</v>
      </c>
      <c r="E373" s="4" t="s">
        <v>75</v>
      </c>
      <c r="F373" s="4" t="s">
        <v>76</v>
      </c>
      <c r="G373" s="4" t="s">
        <v>165</v>
      </c>
      <c r="H373" s="4" t="s">
        <v>78</v>
      </c>
      <c r="I373" s="4" t="s">
        <v>78</v>
      </c>
      <c r="J373" s="4" t="s">
        <v>631</v>
      </c>
      <c r="K373" s="4" t="s">
        <v>80</v>
      </c>
      <c r="L373" s="4" t="s">
        <v>81</v>
      </c>
      <c r="AL373" s="5">
        <v>3.2223905</v>
      </c>
      <c r="BI373" s="5">
        <v>0.0</v>
      </c>
      <c r="BM373" s="5">
        <v>0.0</v>
      </c>
      <c r="BO373" s="5">
        <v>0.0</v>
      </c>
      <c r="BR373" s="5">
        <v>0.173671413685307</v>
      </c>
    </row>
    <row r="374" ht="15.75" customHeight="1">
      <c r="A374" s="4" t="str">
        <f t="shared" si="1"/>
        <v>Liabilities|Portfolio investment, Debt securities, Positions|Ireland|Half-yearly, semester</v>
      </c>
      <c r="B374" s="4" t="s">
        <v>72</v>
      </c>
      <c r="C374" s="4" t="s">
        <v>707</v>
      </c>
      <c r="D374" s="4" t="s">
        <v>74</v>
      </c>
      <c r="E374" s="4" t="s">
        <v>75</v>
      </c>
      <c r="F374" s="4" t="s">
        <v>76</v>
      </c>
      <c r="G374" s="4" t="s">
        <v>165</v>
      </c>
      <c r="H374" s="4" t="s">
        <v>78</v>
      </c>
      <c r="I374" s="4" t="s">
        <v>78</v>
      </c>
      <c r="J374" s="4" t="s">
        <v>595</v>
      </c>
      <c r="K374" s="4" t="s">
        <v>80</v>
      </c>
      <c r="L374" s="4" t="s">
        <v>81</v>
      </c>
      <c r="AL374" s="5">
        <v>272.5182502</v>
      </c>
      <c r="AW374" s="5">
        <v>7.16310000000002</v>
      </c>
      <c r="BA374" s="5">
        <v>0.380952380952381</v>
      </c>
      <c r="BB374" s="5">
        <v>0.35486160397445</v>
      </c>
      <c r="BI374" s="5">
        <v>0.0699790062981106</v>
      </c>
      <c r="BM374" s="5">
        <v>0.0</v>
      </c>
      <c r="BO374" s="5">
        <v>0.0</v>
      </c>
      <c r="BQ374" s="5">
        <v>36.4077669902913</v>
      </c>
      <c r="BR374" s="5">
        <v>36.3552159314577</v>
      </c>
    </row>
    <row r="375" ht="15.75" customHeight="1">
      <c r="A375" s="4" t="str">
        <f t="shared" si="1"/>
        <v>Liabilities|Portfolio investment, Debt securities, Positions|Luxembourg|Half-yearly, semester</v>
      </c>
      <c r="B375" s="4" t="s">
        <v>72</v>
      </c>
      <c r="C375" s="4" t="s">
        <v>708</v>
      </c>
      <c r="D375" s="4" t="s">
        <v>74</v>
      </c>
      <c r="E375" s="4" t="s">
        <v>75</v>
      </c>
      <c r="F375" s="4" t="s">
        <v>76</v>
      </c>
      <c r="G375" s="4" t="s">
        <v>165</v>
      </c>
      <c r="H375" s="4" t="s">
        <v>78</v>
      </c>
      <c r="I375" s="4" t="s">
        <v>78</v>
      </c>
      <c r="J375" s="4" t="s">
        <v>705</v>
      </c>
      <c r="K375" s="4" t="s">
        <v>80</v>
      </c>
      <c r="L375" s="4" t="s">
        <v>81</v>
      </c>
      <c r="AL375" s="5">
        <v>7.7979685</v>
      </c>
      <c r="AW375" s="5">
        <v>9.28405980000003</v>
      </c>
      <c r="BA375" s="5">
        <v>1.74432234432234</v>
      </c>
      <c r="BB375" s="5">
        <v>0.999290276792051</v>
      </c>
      <c r="BC375" s="5">
        <v>0.787327266599258</v>
      </c>
      <c r="BD375" s="5">
        <v>1.11170784103115</v>
      </c>
      <c r="BE375" s="5">
        <v>0.423723140772475</v>
      </c>
      <c r="BF375" s="5">
        <v>0.668776939655172</v>
      </c>
      <c r="BG375" s="5">
        <v>0.594396607119908</v>
      </c>
      <c r="BH375" s="5">
        <v>0.581050805810508</v>
      </c>
      <c r="BI375" s="5">
        <v>0.0</v>
      </c>
    </row>
    <row r="376" ht="15.75" customHeight="1">
      <c r="A376" s="4" t="str">
        <f t="shared" si="1"/>
        <v>Liabilities|Portfolio investment, Debt securities, Positions|Denmark|Half-yearly, semester</v>
      </c>
      <c r="B376" s="4" t="s">
        <v>72</v>
      </c>
      <c r="C376" s="4" t="s">
        <v>709</v>
      </c>
      <c r="D376" s="4" t="s">
        <v>74</v>
      </c>
      <c r="E376" s="4" t="s">
        <v>75</v>
      </c>
      <c r="F376" s="4" t="s">
        <v>76</v>
      </c>
      <c r="G376" s="4" t="s">
        <v>165</v>
      </c>
      <c r="H376" s="4" t="s">
        <v>78</v>
      </c>
      <c r="I376" s="4" t="s">
        <v>78</v>
      </c>
      <c r="J376" s="4" t="s">
        <v>608</v>
      </c>
      <c r="K376" s="4" t="s">
        <v>80</v>
      </c>
      <c r="L376" s="4" t="s">
        <v>81</v>
      </c>
      <c r="AL376" s="5">
        <v>0.0</v>
      </c>
      <c r="BA376" s="5">
        <v>0.664468864468865</v>
      </c>
      <c r="BB376" s="5">
        <v>0.487579843860894</v>
      </c>
      <c r="BC376" s="5">
        <v>0.39298955173576</v>
      </c>
      <c r="BI376" s="5">
        <v>0.0</v>
      </c>
      <c r="BM376" s="5">
        <v>0.0</v>
      </c>
      <c r="BO376" s="5">
        <v>0.0</v>
      </c>
      <c r="BQ376" s="5">
        <v>2.42718446601942</v>
      </c>
    </row>
    <row r="377" ht="15.75" customHeight="1">
      <c r="A377" s="4" t="str">
        <f t="shared" si="1"/>
        <v>Liabilities|Portfolio investment, Debt securities, Long-term, Positions|Cook Islands|Half-yearly, semester</v>
      </c>
      <c r="B377" s="4" t="s">
        <v>72</v>
      </c>
      <c r="C377" s="4" t="s">
        <v>710</v>
      </c>
      <c r="D377" s="4" t="s">
        <v>74</v>
      </c>
      <c r="E377" s="4" t="s">
        <v>75</v>
      </c>
      <c r="F377" s="4" t="s">
        <v>76</v>
      </c>
      <c r="G377" s="4" t="s">
        <v>77</v>
      </c>
      <c r="H377" s="4" t="s">
        <v>78</v>
      </c>
      <c r="I377" s="4" t="s">
        <v>78</v>
      </c>
      <c r="J377" s="4" t="s">
        <v>682</v>
      </c>
      <c r="K377" s="4" t="s">
        <v>80</v>
      </c>
      <c r="L377" s="4" t="s">
        <v>81</v>
      </c>
      <c r="BR377" s="5">
        <v>0.115780942456872</v>
      </c>
    </row>
    <row r="378" ht="15.75" customHeight="1">
      <c r="A378" s="4" t="str">
        <f t="shared" si="1"/>
        <v>Liabilities|Portfolio investment, Debt securities, Long-term, Positions|Canada|Half-yearly, semester</v>
      </c>
      <c r="B378" s="4" t="s">
        <v>72</v>
      </c>
      <c r="C378" s="4" t="s">
        <v>711</v>
      </c>
      <c r="D378" s="4" t="s">
        <v>74</v>
      </c>
      <c r="E378" s="4" t="s">
        <v>75</v>
      </c>
      <c r="F378" s="4" t="s">
        <v>76</v>
      </c>
      <c r="G378" s="4" t="s">
        <v>77</v>
      </c>
      <c r="H378" s="4" t="s">
        <v>78</v>
      </c>
      <c r="I378" s="4" t="s">
        <v>78</v>
      </c>
      <c r="J378" s="4" t="s">
        <v>669</v>
      </c>
      <c r="K378" s="4" t="s">
        <v>80</v>
      </c>
      <c r="L378" s="4" t="s">
        <v>81</v>
      </c>
      <c r="AV378" s="5">
        <v>320.988999999999</v>
      </c>
      <c r="BA378" s="5">
        <v>11.6197802197802</v>
      </c>
      <c r="BB378" s="5">
        <v>11.9772888573456</v>
      </c>
      <c r="BC378" s="5">
        <v>0.029659588810246</v>
      </c>
      <c r="BF378" s="5">
        <v>5.58189655172414</v>
      </c>
      <c r="BG378" s="5">
        <v>8.24701195219124</v>
      </c>
      <c r="BH378" s="5">
        <v>2.27650502276505</v>
      </c>
      <c r="BI378" s="5">
        <v>20.0300909727082</v>
      </c>
      <c r="BJ378" s="5">
        <v>13.0532212885154</v>
      </c>
      <c r="BK378" s="5">
        <v>11.8722425899459</v>
      </c>
      <c r="BL378" s="5">
        <v>16.5917009819449</v>
      </c>
      <c r="BM378" s="5">
        <v>-272.643217301501</v>
      </c>
      <c r="BN378" s="5">
        <v>27.1673112280479</v>
      </c>
      <c r="BO378" s="5">
        <v>211.706694229951</v>
      </c>
      <c r="BP378" s="5">
        <v>14.6644106034969</v>
      </c>
      <c r="BQ378" s="5">
        <v>52.1844660194175</v>
      </c>
      <c r="BR378" s="5">
        <v>61.0744471459998</v>
      </c>
    </row>
    <row r="379" ht="15.75" customHeight="1">
      <c r="A379" s="4" t="str">
        <f t="shared" si="1"/>
        <v>Liabilities|Portfolio investment, Debt securities, Long-term, Positions|United States|Half-yearly, semester</v>
      </c>
      <c r="B379" s="4" t="s">
        <v>72</v>
      </c>
      <c r="C379" s="4" t="s">
        <v>712</v>
      </c>
      <c r="D379" s="4" t="s">
        <v>74</v>
      </c>
      <c r="E379" s="4" t="s">
        <v>75</v>
      </c>
      <c r="F379" s="4" t="s">
        <v>76</v>
      </c>
      <c r="G379" s="4" t="s">
        <v>77</v>
      </c>
      <c r="H379" s="4" t="s">
        <v>78</v>
      </c>
      <c r="I379" s="4" t="s">
        <v>78</v>
      </c>
      <c r="J379" s="4" t="s">
        <v>676</v>
      </c>
      <c r="K379" s="4" t="s">
        <v>80</v>
      </c>
      <c r="L379" s="4" t="s">
        <v>81</v>
      </c>
      <c r="AL379" s="5">
        <v>9623.2914183</v>
      </c>
      <c r="AU379" s="5">
        <v>10477.6664</v>
      </c>
      <c r="AV379" s="5">
        <v>11301.9444</v>
      </c>
      <c r="AX379" s="5">
        <v>10267.826144</v>
      </c>
      <c r="AY379" s="5">
        <v>10589.73662</v>
      </c>
      <c r="AZ379" s="5">
        <v>11257.9938680231</v>
      </c>
      <c r="BA379" s="5">
        <v>12261.7802197802</v>
      </c>
      <c r="BB379" s="5">
        <v>14479.0120652945</v>
      </c>
      <c r="BC379" s="5">
        <v>15156.9673070442</v>
      </c>
      <c r="BD379" s="5">
        <v>15281.9810687433</v>
      </c>
      <c r="BE379" s="5">
        <v>15741.2303367026</v>
      </c>
      <c r="BF379" s="5">
        <v>16369.5218211207</v>
      </c>
      <c r="BG379" s="5">
        <v>18374.4621513944</v>
      </c>
      <c r="BH379" s="5">
        <v>16929.6451542965</v>
      </c>
      <c r="BI379" s="5">
        <v>17197.0685794262</v>
      </c>
      <c r="BJ379" s="5">
        <v>18675.0290360047</v>
      </c>
      <c r="BK379" s="5">
        <v>16985.4222332691</v>
      </c>
      <c r="BL379" s="5">
        <v>19067.9341146658</v>
      </c>
      <c r="BM379" s="5">
        <v>25090.0935544621</v>
      </c>
      <c r="BN379" s="5">
        <v>26231.6154187536</v>
      </c>
      <c r="BO379" s="5">
        <v>25389.4114428163</v>
      </c>
      <c r="BP379" s="5">
        <v>26173.8860688099</v>
      </c>
      <c r="BQ379" s="5">
        <v>29942.2330097087</v>
      </c>
      <c r="BR379" s="5">
        <v>31301.8988074563</v>
      </c>
    </row>
    <row r="380" ht="15.75" customHeight="1">
      <c r="A380" s="4" t="str">
        <f t="shared" si="1"/>
        <v>Liabilities|Portfolio investment, Debt securities, Long-term, Positions|Sri Lanka|Half-yearly, semester</v>
      </c>
      <c r="B380" s="4" t="s">
        <v>72</v>
      </c>
      <c r="C380" s="4" t="s">
        <v>715</v>
      </c>
      <c r="D380" s="4" t="s">
        <v>74</v>
      </c>
      <c r="E380" s="4" t="s">
        <v>75</v>
      </c>
      <c r="F380" s="4" t="s">
        <v>76</v>
      </c>
      <c r="G380" s="4" t="s">
        <v>77</v>
      </c>
      <c r="H380" s="4" t="s">
        <v>78</v>
      </c>
      <c r="I380" s="4" t="s">
        <v>78</v>
      </c>
      <c r="J380" s="4" t="s">
        <v>680</v>
      </c>
      <c r="K380" s="4" t="s">
        <v>80</v>
      </c>
      <c r="L380" s="4" t="s">
        <v>81</v>
      </c>
    </row>
    <row r="381" ht="15.75" customHeight="1">
      <c r="A381" s="4" t="str">
        <f t="shared" si="1"/>
        <v>Liabilities|Portfolio investment, Debt securities, Positions|Australia|Half-yearly, semester</v>
      </c>
      <c r="B381" s="4" t="s">
        <v>72</v>
      </c>
      <c r="C381" s="4" t="s">
        <v>716</v>
      </c>
      <c r="D381" s="4" t="s">
        <v>74</v>
      </c>
      <c r="E381" s="4" t="s">
        <v>75</v>
      </c>
      <c r="F381" s="4" t="s">
        <v>76</v>
      </c>
      <c r="G381" s="4" t="s">
        <v>165</v>
      </c>
      <c r="H381" s="4" t="s">
        <v>78</v>
      </c>
      <c r="I381" s="4" t="s">
        <v>78</v>
      </c>
      <c r="J381" s="4" t="s">
        <v>703</v>
      </c>
      <c r="K381" s="4" t="s">
        <v>80</v>
      </c>
      <c r="L381" s="4" t="s">
        <v>81</v>
      </c>
      <c r="AF381" s="5">
        <v>1540.27380000001</v>
      </c>
      <c r="AH381" s="5">
        <v>2236.086</v>
      </c>
      <c r="AJ381" s="5">
        <v>1805.014874</v>
      </c>
      <c r="AL381" s="5">
        <v>2764.0835754</v>
      </c>
      <c r="AN381" s="5">
        <v>5361.8856596</v>
      </c>
      <c r="AU381" s="5">
        <v>11119.192</v>
      </c>
      <c r="AV381" s="5">
        <v>10236.4175</v>
      </c>
      <c r="AW381" s="5">
        <v>9381.97460160003</v>
      </c>
      <c r="AX381" s="5">
        <v>9781.22369919997</v>
      </c>
      <c r="AY381" s="5">
        <v>10509.09837</v>
      </c>
      <c r="BA381" s="5">
        <v>10853.6901098901</v>
      </c>
      <c r="BB381" s="5">
        <v>11130.9105748758</v>
      </c>
      <c r="BC381" s="5">
        <v>12934.5992585103</v>
      </c>
      <c r="BD381" s="5">
        <v>12584.0272556391</v>
      </c>
      <c r="BE381" s="5">
        <v>16807.675212531</v>
      </c>
      <c r="BF381" s="5">
        <v>16923.4469288793</v>
      </c>
      <c r="BG381" s="5">
        <v>15983.677547873</v>
      </c>
      <c r="BH381" s="5">
        <v>18055.602370456</v>
      </c>
      <c r="BI381" s="5">
        <v>19942.7522743177</v>
      </c>
      <c r="BJ381" s="5">
        <v>14582.3522579764</v>
      </c>
      <c r="BK381" s="5">
        <v>13263.0267818306</v>
      </c>
      <c r="BL381" s="5">
        <v>11271.353183402</v>
      </c>
      <c r="BP381" s="5">
        <v>16332.09249859</v>
      </c>
      <c r="BQ381" s="5">
        <v>18768.3252427185</v>
      </c>
      <c r="BR381" s="5">
        <v>22071.726293852</v>
      </c>
    </row>
    <row r="382" ht="15.75" customHeight="1">
      <c r="A382" s="4" t="str">
        <f t="shared" si="1"/>
        <v>Liabilities|Portfolio investment, Debt securities, Positions|Vanuatu|Half-yearly, semester</v>
      </c>
      <c r="B382" s="4" t="s">
        <v>72</v>
      </c>
      <c r="C382" s="4" t="s">
        <v>717</v>
      </c>
      <c r="D382" s="4" t="s">
        <v>74</v>
      </c>
      <c r="E382" s="4" t="s">
        <v>75</v>
      </c>
      <c r="F382" s="4" t="s">
        <v>76</v>
      </c>
      <c r="G382" s="4" t="s">
        <v>165</v>
      </c>
      <c r="H382" s="4" t="s">
        <v>78</v>
      </c>
      <c r="I382" s="4" t="s">
        <v>78</v>
      </c>
      <c r="J382" s="4" t="s">
        <v>550</v>
      </c>
      <c r="K382" s="4" t="s">
        <v>80</v>
      </c>
      <c r="L382" s="4" t="s">
        <v>81</v>
      </c>
      <c r="AL382" s="5">
        <v>0.0</v>
      </c>
      <c r="BD382" s="5">
        <v>0.354457572502685</v>
      </c>
      <c r="BE382" s="5">
        <v>0.353437311734387</v>
      </c>
      <c r="BF382" s="5">
        <v>0.355603448275862</v>
      </c>
      <c r="BG382" s="5">
        <v>0.339288009253309</v>
      </c>
      <c r="BH382" s="5">
        <v>0.381585603815856</v>
      </c>
      <c r="BI382" s="5">
        <v>0.369489153254024</v>
      </c>
      <c r="BJ382" s="5">
        <v>0.360729657716745</v>
      </c>
      <c r="BK382" s="5">
        <v>0.328092959671907</v>
      </c>
      <c r="BM382" s="5">
        <v>0.320758155640605</v>
      </c>
      <c r="BN382" s="5">
        <v>0.334749255056109</v>
      </c>
      <c r="BO382" s="5">
        <v>0.321031191098681</v>
      </c>
      <c r="BP382" s="5">
        <v>0.282007896221094</v>
      </c>
      <c r="BQ382" s="5">
        <v>0.0606796116504854</v>
      </c>
    </row>
    <row r="383" ht="15.75" customHeight="1">
      <c r="A383" s="4" t="str">
        <f t="shared" si="1"/>
        <v>Liabilities|Portfolio investment, Debt securities, Positions|Not Specified (including Confidential)|Half-yearly, semester</v>
      </c>
      <c r="B383" s="4" t="s">
        <v>72</v>
      </c>
      <c r="C383" s="4" t="s">
        <v>718</v>
      </c>
      <c r="D383" s="4" t="s">
        <v>74</v>
      </c>
      <c r="E383" s="4" t="s">
        <v>75</v>
      </c>
      <c r="F383" s="4" t="s">
        <v>76</v>
      </c>
      <c r="G383" s="4" t="s">
        <v>165</v>
      </c>
      <c r="H383" s="4" t="s">
        <v>78</v>
      </c>
      <c r="I383" s="4" t="s">
        <v>78</v>
      </c>
      <c r="J383" s="4" t="s">
        <v>686</v>
      </c>
      <c r="K383" s="4" t="s">
        <v>80</v>
      </c>
      <c r="L383" s="4" t="s">
        <v>81</v>
      </c>
      <c r="AH383" s="5">
        <v>26221.572</v>
      </c>
      <c r="AJ383" s="5">
        <v>17149.27383</v>
      </c>
      <c r="AL383" s="5">
        <v>15664.5677832</v>
      </c>
      <c r="AN383" s="5">
        <v>23812.8130312</v>
      </c>
      <c r="AU383" s="5">
        <v>48050.3552</v>
      </c>
      <c r="AV383" s="5">
        <v>41360.6069999999</v>
      </c>
      <c r="AW383" s="5">
        <v>38876.0538600001</v>
      </c>
      <c r="AX383" s="5">
        <v>74830.0552127998</v>
      </c>
      <c r="AY383" s="5">
        <v>81555.5018400001</v>
      </c>
      <c r="AZ383" s="5">
        <v>68767.090098251</v>
      </c>
      <c r="BA383" s="5">
        <v>93321.3545787546</v>
      </c>
      <c r="BB383" s="5">
        <v>41220.9567068843</v>
      </c>
      <c r="BC383" s="5">
        <v>40020.9396697</v>
      </c>
      <c r="BD383" s="5">
        <v>37309.2642320086</v>
      </c>
      <c r="BE383" s="5">
        <v>35515.6730704867</v>
      </c>
      <c r="BF383" s="5">
        <v>72650.7394935345</v>
      </c>
      <c r="BG383" s="5">
        <v>37061.0718416656</v>
      </c>
      <c r="BH383" s="5">
        <v>44694.4554455446</v>
      </c>
      <c r="BI383" s="5">
        <v>37264.2036389083</v>
      </c>
      <c r="BJ383" s="5">
        <v>45054.9012775842</v>
      </c>
      <c r="BK383" s="5">
        <v>40978.5987696514</v>
      </c>
      <c r="BL383" s="5">
        <v>45209.4710167882</v>
      </c>
      <c r="BM383" s="5">
        <v>83328.1477431505</v>
      </c>
      <c r="BN383" s="5">
        <v>94620.0950992202</v>
      </c>
      <c r="BO383" s="5">
        <v>68506.970268134</v>
      </c>
      <c r="BP383" s="5">
        <v>58563.508178229</v>
      </c>
      <c r="BQ383" s="5">
        <v>66521.359223301</v>
      </c>
      <c r="BR383" s="5">
        <v>66348.7900891513</v>
      </c>
    </row>
    <row r="384" ht="15.75" customHeight="1">
      <c r="A384" s="4" t="str">
        <f t="shared" si="1"/>
        <v>Liabilities|Portfolio investment, Debt securities, Long-term, Positions, Derived using counterparty information|Netherlands, The|Half-yearly, semester</v>
      </c>
      <c r="B384" s="4" t="s">
        <v>72</v>
      </c>
      <c r="C384" s="4" t="s">
        <v>719</v>
      </c>
      <c r="D384" s="4" t="s">
        <v>74</v>
      </c>
      <c r="E384" s="4" t="s">
        <v>75</v>
      </c>
      <c r="F384" s="4" t="s">
        <v>76</v>
      </c>
      <c r="G384" s="4" t="s">
        <v>549</v>
      </c>
      <c r="H384" s="4" t="s">
        <v>78</v>
      </c>
      <c r="I384" s="4" t="s">
        <v>78</v>
      </c>
      <c r="J384" s="4" t="s">
        <v>624</v>
      </c>
      <c r="K384" s="4" t="s">
        <v>80</v>
      </c>
      <c r="L384" s="4" t="s">
        <v>81</v>
      </c>
      <c r="N384" s="5">
        <v>58.496926432679</v>
      </c>
      <c r="V384" s="5">
        <v>29.9642</v>
      </c>
      <c r="X384" s="5">
        <v>33.5584</v>
      </c>
      <c r="Z384" s="5">
        <v>157.875</v>
      </c>
      <c r="AB384" s="5">
        <v>31.3283</v>
      </c>
      <c r="AD384" s="5">
        <v>56.6256</v>
      </c>
      <c r="AF384" s="5">
        <v>69.801</v>
      </c>
      <c r="AH384" s="5">
        <v>36.8025</v>
      </c>
      <c r="AJ384" s="5">
        <v>932.439</v>
      </c>
      <c r="AK384" s="5">
        <v>3141.9882</v>
      </c>
      <c r="AL384" s="5">
        <v>3477.6084</v>
      </c>
      <c r="AM384" s="5">
        <v>2175.6483</v>
      </c>
      <c r="AN384" s="5">
        <v>1012.8396</v>
      </c>
      <c r="AO384" s="5">
        <v>2383.2997</v>
      </c>
      <c r="AP384" s="5">
        <v>2162.1069</v>
      </c>
      <c r="AQ384" s="5">
        <v>2280.049</v>
      </c>
      <c r="AR384" s="5">
        <v>2612.412</v>
      </c>
      <c r="AS384" s="5">
        <v>1408.716</v>
      </c>
      <c r="AT384" s="5">
        <v>754.3677</v>
      </c>
      <c r="AU384" s="5">
        <v>1826.0746</v>
      </c>
      <c r="AV384" s="5">
        <v>1378.0035</v>
      </c>
      <c r="AW384" s="5">
        <v>1309.113</v>
      </c>
      <c r="AX384" s="5">
        <v>1366.3185</v>
      </c>
      <c r="AY384" s="5">
        <v>1465.464</v>
      </c>
      <c r="AZ384" s="5">
        <v>1592.7451</v>
      </c>
      <c r="BA384" s="5">
        <v>1669.5756</v>
      </c>
      <c r="BB384" s="5">
        <v>1885.2996</v>
      </c>
      <c r="BC384" s="5">
        <v>1825.6428</v>
      </c>
      <c r="BD384" s="5">
        <v>1786.2</v>
      </c>
      <c r="BE384" s="5">
        <v>1908.426</v>
      </c>
      <c r="BF384" s="5">
        <v>1609.8322</v>
      </c>
      <c r="BG384" s="5">
        <v>1298.968</v>
      </c>
      <c r="BH384" s="5">
        <v>1387.8501</v>
      </c>
      <c r="BI384" s="5">
        <v>1290.6024</v>
      </c>
      <c r="BJ384" s="5">
        <v>1378.3742</v>
      </c>
      <c r="BK384" s="5">
        <v>1173.731</v>
      </c>
      <c r="BL384" s="5">
        <v>1117.7968</v>
      </c>
      <c r="BM384" s="5">
        <v>1209.3858</v>
      </c>
      <c r="BN384" s="5">
        <v>928.2</v>
      </c>
      <c r="BO384" s="5">
        <v>885.3035</v>
      </c>
      <c r="BP384" s="5">
        <v>1109.5452</v>
      </c>
      <c r="BQ384" s="5">
        <v>1429.84</v>
      </c>
      <c r="BR384" s="5">
        <v>1810.675</v>
      </c>
    </row>
    <row r="385" ht="15.75" customHeight="1">
      <c r="A385" s="4" t="str">
        <f t="shared" si="1"/>
        <v>Liabilities|Portfolio investment, Debt securities, Long-term, Positions, Derived using counterparty information|Honduras|Half-yearly, semester</v>
      </c>
      <c r="B385" s="4" t="s">
        <v>72</v>
      </c>
      <c r="C385" s="4" t="s">
        <v>720</v>
      </c>
      <c r="D385" s="4" t="s">
        <v>74</v>
      </c>
      <c r="E385" s="4" t="s">
        <v>75</v>
      </c>
      <c r="F385" s="4" t="s">
        <v>76</v>
      </c>
      <c r="G385" s="4" t="s">
        <v>549</v>
      </c>
      <c r="H385" s="4" t="s">
        <v>78</v>
      </c>
      <c r="I385" s="4" t="s">
        <v>78</v>
      </c>
      <c r="J385" s="4" t="s">
        <v>258</v>
      </c>
      <c r="K385" s="4" t="s">
        <v>80</v>
      </c>
      <c r="L385" s="4" t="s">
        <v>81</v>
      </c>
      <c r="AZ385" s="5">
        <v>0.0</v>
      </c>
      <c r="BA385" s="5">
        <v>0.0</v>
      </c>
      <c r="BB385" s="5">
        <v>0.0</v>
      </c>
      <c r="BE385" s="5">
        <v>0.0</v>
      </c>
      <c r="BF385" s="5">
        <v>0.0</v>
      </c>
      <c r="BG385" s="5">
        <v>0.0</v>
      </c>
      <c r="BH385" s="5">
        <v>0.0</v>
      </c>
      <c r="BI385" s="5">
        <v>0.0</v>
      </c>
      <c r="BJ385" s="5">
        <v>0.0</v>
      </c>
      <c r="BK385" s="5">
        <v>0.0</v>
      </c>
      <c r="BL385" s="5">
        <v>0.0</v>
      </c>
      <c r="BM385" s="5">
        <v>0.0</v>
      </c>
      <c r="BN385" s="5">
        <v>0.0</v>
      </c>
      <c r="BO385" s="5">
        <v>0.0</v>
      </c>
      <c r="BP385" s="5">
        <v>0.0</v>
      </c>
      <c r="BQ385" s="5">
        <v>0.0</v>
      </c>
      <c r="BR385" s="5">
        <v>0.0</v>
      </c>
    </row>
    <row r="386" ht="15.75" customHeight="1">
      <c r="A386" s="4" t="str">
        <f t="shared" si="1"/>
        <v>Liabilities|Portfolio investment, Debt securities, Long-term, Positions, Derived using counterparty information|Saudi Arabia|Half-yearly, semester</v>
      </c>
      <c r="B386" s="4" t="s">
        <v>72</v>
      </c>
      <c r="C386" s="4" t="s">
        <v>721</v>
      </c>
      <c r="D386" s="4" t="s">
        <v>74</v>
      </c>
      <c r="E386" s="4" t="s">
        <v>75</v>
      </c>
      <c r="F386" s="4" t="s">
        <v>76</v>
      </c>
      <c r="G386" s="4" t="s">
        <v>549</v>
      </c>
      <c r="H386" s="4" t="s">
        <v>78</v>
      </c>
      <c r="I386" s="4" t="s">
        <v>78</v>
      </c>
      <c r="J386" s="4" t="s">
        <v>593</v>
      </c>
      <c r="K386" s="4" t="s">
        <v>80</v>
      </c>
      <c r="L386" s="4" t="s">
        <v>81</v>
      </c>
      <c r="AS386" s="5">
        <v>227.696654368616</v>
      </c>
      <c r="AT386" s="5">
        <v>202.124611167336</v>
      </c>
      <c r="AU386" s="5">
        <v>205.257811600049</v>
      </c>
      <c r="AV386" s="5">
        <v>234.53652318223</v>
      </c>
      <c r="AW386" s="5">
        <v>231.423275657917</v>
      </c>
      <c r="AX386" s="5">
        <v>225.099484142304</v>
      </c>
      <c r="AY386" s="5">
        <v>250.178075810585</v>
      </c>
      <c r="AZ386" s="5">
        <v>216.055303863972</v>
      </c>
      <c r="BA386" s="5">
        <v>115.160970935922</v>
      </c>
      <c r="BB386" s="5">
        <v>121.384918542257</v>
      </c>
      <c r="BC386" s="5">
        <v>143.441136996992</v>
      </c>
      <c r="BD386" s="5">
        <v>151.694927336841</v>
      </c>
      <c r="BE386" s="5">
        <v>0.0</v>
      </c>
      <c r="BF386" s="5">
        <v>80.745200589544</v>
      </c>
      <c r="BG386" s="5">
        <v>2.9447567589736</v>
      </c>
      <c r="BH386" s="5">
        <v>11.5062791180433</v>
      </c>
      <c r="BI386" s="5">
        <v>14.744286238108</v>
      </c>
      <c r="BJ386" s="5">
        <v>0.0</v>
      </c>
      <c r="BK386" s="5">
        <v>0.0</v>
      </c>
      <c r="BL386" s="5">
        <v>0.0</v>
      </c>
      <c r="BM386" s="5">
        <v>0.0</v>
      </c>
      <c r="BN386" s="5">
        <v>0.0</v>
      </c>
      <c r="BO386" s="5">
        <v>0.0</v>
      </c>
      <c r="BP386" s="5">
        <v>5.29978677683955</v>
      </c>
      <c r="BQ386" s="5">
        <v>0.0</v>
      </c>
      <c r="BR386" s="5">
        <v>0.0</v>
      </c>
    </row>
    <row r="387" ht="15.75" customHeight="1">
      <c r="A387" s="4" t="str">
        <f t="shared" si="1"/>
        <v>Liabilities|Portfolio investment, Debt securities, Long-term, Positions, Derived using counterparty information|Poland, Republic of|Half-yearly, semester</v>
      </c>
      <c r="B387" s="4" t="s">
        <v>72</v>
      </c>
      <c r="C387" s="4" t="s">
        <v>722</v>
      </c>
      <c r="D387" s="4" t="s">
        <v>74</v>
      </c>
      <c r="E387" s="4" t="s">
        <v>75</v>
      </c>
      <c r="F387" s="4" t="s">
        <v>76</v>
      </c>
      <c r="G387" s="4" t="s">
        <v>549</v>
      </c>
      <c r="H387" s="4" t="s">
        <v>78</v>
      </c>
      <c r="I387" s="4" t="s">
        <v>78</v>
      </c>
      <c r="J387" s="4" t="s">
        <v>155</v>
      </c>
      <c r="K387" s="4" t="s">
        <v>80</v>
      </c>
      <c r="L387" s="4" t="s">
        <v>81</v>
      </c>
      <c r="V387" s="5">
        <v>0.0</v>
      </c>
      <c r="Z387" s="5">
        <v>0.0</v>
      </c>
      <c r="AB387" s="5">
        <v>0.0</v>
      </c>
      <c r="AD387" s="5">
        <v>0.0</v>
      </c>
      <c r="AL387" s="5">
        <v>0.0</v>
      </c>
      <c r="AN387" s="5">
        <v>0.0</v>
      </c>
      <c r="AP387" s="5">
        <v>0.0</v>
      </c>
      <c r="AR387" s="5">
        <v>0.0</v>
      </c>
      <c r="AS387" s="5">
        <v>0.0</v>
      </c>
      <c r="AY387" s="5">
        <v>0.0</v>
      </c>
      <c r="AZ387" s="5">
        <v>0.0</v>
      </c>
      <c r="BE387" s="5">
        <v>0.0</v>
      </c>
      <c r="BF387" s="5">
        <v>0.0</v>
      </c>
      <c r="BG387" s="5">
        <v>0.0</v>
      </c>
      <c r="BR387" s="5">
        <v>2.77654375832963</v>
      </c>
    </row>
    <row r="388" ht="15.75" customHeight="1">
      <c r="A388" s="4" t="str">
        <f t="shared" si="1"/>
        <v>Liabilities|Portfolio investment, Debt securities, Long-term, Positions, Derived using counterparty information|Sweden|Half-yearly, semester</v>
      </c>
      <c r="B388" s="4" t="s">
        <v>72</v>
      </c>
      <c r="C388" s="4" t="s">
        <v>723</v>
      </c>
      <c r="D388" s="4" t="s">
        <v>74</v>
      </c>
      <c r="E388" s="4" t="s">
        <v>75</v>
      </c>
      <c r="F388" s="4" t="s">
        <v>76</v>
      </c>
      <c r="G388" s="4" t="s">
        <v>549</v>
      </c>
      <c r="H388" s="4" t="s">
        <v>78</v>
      </c>
      <c r="I388" s="4" t="s">
        <v>78</v>
      </c>
      <c r="J388" s="4" t="s">
        <v>93</v>
      </c>
      <c r="K388" s="4" t="s">
        <v>80</v>
      </c>
      <c r="L388" s="4" t="s">
        <v>81</v>
      </c>
      <c r="N388" s="5">
        <v>0.0</v>
      </c>
      <c r="V388" s="5">
        <v>2.48174361378017</v>
      </c>
      <c r="X388" s="5">
        <v>34.2632294617564</v>
      </c>
      <c r="Z388" s="5">
        <v>3.67954709842542</v>
      </c>
      <c r="AB388" s="5">
        <v>30.2663804311674</v>
      </c>
      <c r="AD388" s="5">
        <v>6.0313630880579</v>
      </c>
      <c r="AF388" s="5">
        <v>132.793302692151</v>
      </c>
      <c r="AH388" s="5">
        <v>177.837408007983</v>
      </c>
      <c r="AJ388" s="5">
        <v>175.291782961616</v>
      </c>
      <c r="AL388" s="5">
        <v>190.9751984824</v>
      </c>
      <c r="AN388" s="5">
        <v>40.3080614632547</v>
      </c>
      <c r="AP388" s="5">
        <v>31.2663153157077</v>
      </c>
      <c r="AR388" s="5">
        <v>91.78261203782</v>
      </c>
      <c r="AT388" s="5">
        <v>33.3136149942402</v>
      </c>
      <c r="AV388" s="5">
        <v>47.0490913321097</v>
      </c>
      <c r="AW388" s="5">
        <v>12.9920590592292</v>
      </c>
      <c r="AX388" s="5">
        <v>6.7529144156952</v>
      </c>
      <c r="AY388" s="5">
        <v>9.54209714090497</v>
      </c>
      <c r="AZ388" s="5">
        <v>21.1869082562733</v>
      </c>
      <c r="BA388" s="5">
        <v>23.2032295107197</v>
      </c>
      <c r="BB388" s="5">
        <v>30.3362573099415</v>
      </c>
      <c r="BC388" s="5">
        <v>33.2351891506067</v>
      </c>
      <c r="BD388" s="5">
        <v>36.5110202987874</v>
      </c>
      <c r="BE388" s="5">
        <v>14.2206134255519</v>
      </c>
      <c r="BF388" s="5">
        <v>13.5494069446087</v>
      </c>
      <c r="BG388" s="5">
        <v>12.1638924455826</v>
      </c>
      <c r="BH388" s="5">
        <v>13.6966198698821</v>
      </c>
      <c r="BK388" s="5">
        <v>11.6164256258349</v>
      </c>
      <c r="BL388" s="5">
        <v>38.0731349438493</v>
      </c>
      <c r="BM388" s="5">
        <v>21.3537543950076</v>
      </c>
      <c r="BN388" s="5">
        <v>20.4150732950924</v>
      </c>
      <c r="BP388" s="5">
        <v>30.1000009066265</v>
      </c>
      <c r="BR388" s="5">
        <v>42.9976763881952</v>
      </c>
    </row>
    <row r="389" ht="15.75" customHeight="1">
      <c r="A389" s="4" t="str">
        <f t="shared" si="1"/>
        <v>Liabilities|Portfolio investment, Debt securities, Long-term, Positions, Derived using counterparty information|Thailand|Half-yearly, semester</v>
      </c>
      <c r="B389" s="4" t="s">
        <v>72</v>
      </c>
      <c r="C389" s="4" t="s">
        <v>724</v>
      </c>
      <c r="D389" s="4" t="s">
        <v>74</v>
      </c>
      <c r="E389" s="4" t="s">
        <v>75</v>
      </c>
      <c r="F389" s="4" t="s">
        <v>76</v>
      </c>
      <c r="G389" s="4" t="s">
        <v>549</v>
      </c>
      <c r="H389" s="4" t="s">
        <v>78</v>
      </c>
      <c r="I389" s="4" t="s">
        <v>78</v>
      </c>
      <c r="J389" s="4" t="s">
        <v>598</v>
      </c>
      <c r="K389" s="4" t="s">
        <v>80</v>
      </c>
      <c r="L389" s="4" t="s">
        <v>81</v>
      </c>
      <c r="N389" s="5">
        <v>0.0</v>
      </c>
      <c r="V389" s="5">
        <v>0.0</v>
      </c>
      <c r="X389" s="5">
        <v>0.0</v>
      </c>
      <c r="Z389" s="5">
        <v>0.0</v>
      </c>
      <c r="AB389" s="5">
        <v>0.0</v>
      </c>
      <c r="AD389" s="5">
        <v>12.81</v>
      </c>
      <c r="AF389" s="5">
        <v>54.82578851</v>
      </c>
      <c r="AH389" s="5">
        <v>1.15444272</v>
      </c>
      <c r="AJ389" s="5">
        <v>150.78769262</v>
      </c>
      <c r="AL389" s="5">
        <v>15.97569238</v>
      </c>
      <c r="AN389" s="5">
        <v>5.65</v>
      </c>
      <c r="AP389" s="5">
        <v>4.81</v>
      </c>
      <c r="AR389" s="5">
        <v>1.4732</v>
      </c>
      <c r="AS389" s="5">
        <v>2.604246</v>
      </c>
      <c r="AT389" s="5">
        <v>3.126609</v>
      </c>
      <c r="AU389" s="5">
        <v>4.46202068</v>
      </c>
      <c r="AV389" s="5">
        <v>4.03865704</v>
      </c>
      <c r="AW389" s="5">
        <v>0.238943997495</v>
      </c>
      <c r="AX389" s="5">
        <v>0.2243527923</v>
      </c>
      <c r="AY389" s="5">
        <v>0.813659</v>
      </c>
      <c r="AZ389" s="5">
        <v>0.763962</v>
      </c>
      <c r="BA389" s="5">
        <v>0.810056</v>
      </c>
      <c r="BB389" s="5">
        <v>2.484104</v>
      </c>
      <c r="BC389" s="5">
        <v>11.920396</v>
      </c>
      <c r="BD389" s="5">
        <v>11.595414</v>
      </c>
      <c r="BE389" s="5">
        <v>3.242429</v>
      </c>
      <c r="BI389" s="5">
        <v>0.0</v>
      </c>
      <c r="BK389" s="5">
        <v>0.786879</v>
      </c>
      <c r="BL389" s="5">
        <v>0.744156</v>
      </c>
      <c r="BM389" s="5">
        <v>0.866312</v>
      </c>
      <c r="BN389" s="5">
        <v>2.109184</v>
      </c>
      <c r="BO389" s="5">
        <v>9.093403</v>
      </c>
      <c r="BP389" s="5">
        <v>13.421878</v>
      </c>
      <c r="BQ389" s="5">
        <v>15.128642</v>
      </c>
      <c r="BR389" s="5">
        <v>18.223084</v>
      </c>
    </row>
    <row r="390" ht="15.75" customHeight="1">
      <c r="A390" s="4" t="str">
        <f t="shared" si="1"/>
        <v>Liabilities|Portfolio investment, Debt securities, Long-term, Positions, Derived using counterparty information|Costa Rica|Half-yearly, semester</v>
      </c>
      <c r="B390" s="4" t="s">
        <v>72</v>
      </c>
      <c r="C390" s="4" t="s">
        <v>725</v>
      </c>
      <c r="D390" s="4" t="s">
        <v>74</v>
      </c>
      <c r="E390" s="4" t="s">
        <v>75</v>
      </c>
      <c r="F390" s="4" t="s">
        <v>76</v>
      </c>
      <c r="G390" s="4" t="s">
        <v>549</v>
      </c>
      <c r="H390" s="4" t="s">
        <v>78</v>
      </c>
      <c r="I390" s="4" t="s">
        <v>78</v>
      </c>
      <c r="J390" s="4" t="s">
        <v>314</v>
      </c>
      <c r="K390" s="4" t="s">
        <v>80</v>
      </c>
      <c r="L390" s="4" t="s">
        <v>81</v>
      </c>
      <c r="AB390" s="5">
        <v>0.1024265</v>
      </c>
      <c r="AF390" s="5">
        <v>0.0</v>
      </c>
      <c r="AL390" s="5">
        <v>2.0042799962</v>
      </c>
      <c r="AN390" s="5">
        <v>2.00076519012451</v>
      </c>
      <c r="AS390" s="5">
        <v>0.0</v>
      </c>
      <c r="AX390" s="5">
        <v>3.513195</v>
      </c>
      <c r="AY390" s="5">
        <v>3.52149</v>
      </c>
      <c r="AZ390" s="5">
        <v>3.5170625</v>
      </c>
      <c r="BB390" s="5">
        <v>0.738500277777778</v>
      </c>
      <c r="BC390" s="5">
        <v>0.9977687</v>
      </c>
      <c r="BD390" s="5">
        <v>1.005713225</v>
      </c>
      <c r="BE390" s="5">
        <v>0.986348663888889</v>
      </c>
      <c r="BF390" s="5">
        <v>0.256899583333333</v>
      </c>
      <c r="BG390" s="5">
        <v>0.86541075</v>
      </c>
      <c r="BH390" s="5">
        <v>0.602797416666667</v>
      </c>
      <c r="BI390" s="5">
        <v>0.596826361111111</v>
      </c>
      <c r="BJ390" s="5">
        <v>0.572374166666667</v>
      </c>
      <c r="BK390" s="5">
        <v>0.547626166666667</v>
      </c>
      <c r="BL390" s="5">
        <v>0.547626166666667</v>
      </c>
      <c r="BN390" s="5">
        <v>2.88509551</v>
      </c>
      <c r="BO390" s="5">
        <v>0.0</v>
      </c>
      <c r="BP390" s="5">
        <v>0.0</v>
      </c>
      <c r="BQ390" s="5">
        <v>0.0</v>
      </c>
      <c r="BR390" s="5">
        <v>0.0</v>
      </c>
    </row>
    <row r="391" ht="15.75" customHeight="1">
      <c r="A391" s="4" t="str">
        <f t="shared" si="1"/>
        <v>Liabilities|Portfolio investment, Debt securities, Long-term, Positions, Derived using counterparty information|Cyprus|Half-yearly, semester</v>
      </c>
      <c r="B391" s="4" t="s">
        <v>72</v>
      </c>
      <c r="C391" s="4" t="s">
        <v>726</v>
      </c>
      <c r="D391" s="4" t="s">
        <v>74</v>
      </c>
      <c r="E391" s="4" t="s">
        <v>75</v>
      </c>
      <c r="F391" s="4" t="s">
        <v>76</v>
      </c>
      <c r="G391" s="4" t="s">
        <v>549</v>
      </c>
      <c r="H391" s="4" t="s">
        <v>78</v>
      </c>
      <c r="I391" s="4" t="s">
        <v>78</v>
      </c>
      <c r="J391" s="4" t="s">
        <v>208</v>
      </c>
      <c r="K391" s="4" t="s">
        <v>80</v>
      </c>
      <c r="L391" s="4" t="s">
        <v>81</v>
      </c>
      <c r="V391" s="5">
        <v>2.998021862</v>
      </c>
      <c r="X391" s="5">
        <v>3.3756686493</v>
      </c>
      <c r="Z391" s="5">
        <v>0.447472839</v>
      </c>
      <c r="AB391" s="5">
        <v>1.78376975245093</v>
      </c>
      <c r="AD391" s="5">
        <v>28.4071496921383</v>
      </c>
      <c r="AF391" s="5">
        <v>32.6998331144754</v>
      </c>
      <c r="AH391" s="5">
        <v>48.6396561</v>
      </c>
      <c r="AJ391" s="5">
        <v>36.358221730752</v>
      </c>
      <c r="AL391" s="5">
        <v>18.030328367058</v>
      </c>
      <c r="AN391" s="5">
        <v>0.0</v>
      </c>
      <c r="AP391" s="5">
        <v>0.0</v>
      </c>
      <c r="AR391" s="5">
        <v>0.0</v>
      </c>
      <c r="AS391" s="5">
        <v>0.0</v>
      </c>
      <c r="AT391" s="5">
        <v>0.0</v>
      </c>
      <c r="AU391" s="5">
        <v>0.0</v>
      </c>
      <c r="AV391" s="5">
        <v>0.0</v>
      </c>
      <c r="AW391" s="5">
        <v>0.0</v>
      </c>
      <c r="AX391" s="5">
        <v>0.0</v>
      </c>
      <c r="AY391" s="5">
        <v>0.0</v>
      </c>
      <c r="AZ391" s="5">
        <v>0.0</v>
      </c>
      <c r="BG391" s="5">
        <v>1.723050223906</v>
      </c>
      <c r="BI391" s="5">
        <v>2.305321376504</v>
      </c>
      <c r="BJ391" s="5">
        <v>2.214358276886</v>
      </c>
      <c r="BM391" s="5">
        <v>41.553770880294</v>
      </c>
      <c r="BN391" s="5">
        <v>40.3607182082</v>
      </c>
      <c r="BO391" s="5">
        <v>40.44323301577</v>
      </c>
      <c r="BP391" s="5">
        <v>30.142892959434</v>
      </c>
      <c r="BQ391" s="5">
        <v>23.80730734324</v>
      </c>
      <c r="BR391" s="5">
        <v>24.2790800135</v>
      </c>
    </row>
    <row r="392" ht="15.75" customHeight="1">
      <c r="A392" s="4" t="str">
        <f t="shared" si="1"/>
        <v>Liabilities|Portfolio investment, Debt securities, Long-term, Positions, Derived using counterparty information|Lithuania, Republic of|Half-yearly, semester</v>
      </c>
      <c r="B392" s="4" t="s">
        <v>72</v>
      </c>
      <c r="C392" s="4" t="s">
        <v>727</v>
      </c>
      <c r="D392" s="4" t="s">
        <v>74</v>
      </c>
      <c r="E392" s="4" t="s">
        <v>75</v>
      </c>
      <c r="F392" s="4" t="s">
        <v>76</v>
      </c>
      <c r="G392" s="4" t="s">
        <v>549</v>
      </c>
      <c r="H392" s="4" t="s">
        <v>78</v>
      </c>
      <c r="I392" s="4" t="s">
        <v>78</v>
      </c>
      <c r="J392" s="4" t="s">
        <v>443</v>
      </c>
      <c r="K392" s="4" t="s">
        <v>80</v>
      </c>
      <c r="L392" s="4" t="s">
        <v>81</v>
      </c>
      <c r="AL392" s="5">
        <v>0.0</v>
      </c>
      <c r="AN392" s="5">
        <v>0.0</v>
      </c>
      <c r="AP392" s="5">
        <v>0.0</v>
      </c>
      <c r="AR392" s="5">
        <v>0.0</v>
      </c>
      <c r="AS392" s="5">
        <v>0.0</v>
      </c>
      <c r="AT392" s="5">
        <v>0.0</v>
      </c>
      <c r="AU392" s="5">
        <v>0.0</v>
      </c>
      <c r="AV392" s="5">
        <v>0.0</v>
      </c>
      <c r="AW392" s="5">
        <v>0.0</v>
      </c>
      <c r="AX392" s="5">
        <v>0.0</v>
      </c>
      <c r="AY392" s="5">
        <v>0.0</v>
      </c>
      <c r="AZ392" s="5">
        <v>0.0</v>
      </c>
      <c r="BA392" s="5">
        <v>0.0</v>
      </c>
      <c r="BB392" s="5">
        <v>0.0</v>
      </c>
      <c r="BC392" s="5">
        <v>0.0</v>
      </c>
      <c r="BD392" s="5">
        <v>0.0</v>
      </c>
      <c r="BE392" s="5">
        <v>0.14794</v>
      </c>
      <c r="BF392" s="5">
        <v>0.0</v>
      </c>
      <c r="BG392" s="5">
        <v>0.0</v>
      </c>
      <c r="BH392" s="5">
        <v>0.0</v>
      </c>
      <c r="BI392" s="5">
        <v>0.0</v>
      </c>
      <c r="BJ392" s="5">
        <v>0.0</v>
      </c>
      <c r="BK392" s="5">
        <v>0.0</v>
      </c>
      <c r="BL392" s="5">
        <v>0.0</v>
      </c>
      <c r="BM392" s="5">
        <v>0.0</v>
      </c>
      <c r="BN392" s="5">
        <v>0.0</v>
      </c>
      <c r="BO392" s="5">
        <v>0.0</v>
      </c>
      <c r="BP392" s="5">
        <v>0.0</v>
      </c>
      <c r="BQ392" s="5">
        <v>0.0</v>
      </c>
      <c r="BR392" s="5">
        <v>0.0</v>
      </c>
    </row>
    <row r="393" ht="15.75" customHeight="1">
      <c r="A393" s="4" t="str">
        <f t="shared" si="1"/>
        <v>Liabilities|Portfolio investment, Debt securities, Long-term, Positions, Derived using counterparty information|Lebanon|Half-yearly, semester</v>
      </c>
      <c r="B393" s="4" t="s">
        <v>72</v>
      </c>
      <c r="C393" s="4" t="s">
        <v>728</v>
      </c>
      <c r="D393" s="4" t="s">
        <v>74</v>
      </c>
      <c r="E393" s="4" t="s">
        <v>75</v>
      </c>
      <c r="F393" s="4" t="s">
        <v>76</v>
      </c>
      <c r="G393" s="4" t="s">
        <v>549</v>
      </c>
      <c r="H393" s="4" t="s">
        <v>78</v>
      </c>
      <c r="I393" s="4" t="s">
        <v>78</v>
      </c>
      <c r="J393" s="4" t="s">
        <v>430</v>
      </c>
      <c r="K393" s="4" t="s">
        <v>80</v>
      </c>
      <c r="L393" s="4" t="s">
        <v>81</v>
      </c>
      <c r="AF393" s="5">
        <v>0.0120285240464345</v>
      </c>
      <c r="AH393" s="5">
        <v>0.0504769485903814</v>
      </c>
      <c r="AP393" s="5">
        <v>1.12278673300166</v>
      </c>
      <c r="AR393" s="5">
        <v>1.05732006633499</v>
      </c>
      <c r="AS393" s="5">
        <v>0.915014925373134</v>
      </c>
      <c r="AT393" s="5">
        <v>0.992671310116086</v>
      </c>
      <c r="AU393" s="5">
        <v>1.01435091210614</v>
      </c>
      <c r="AV393" s="5">
        <v>0.988896849087894</v>
      </c>
      <c r="AW393" s="5">
        <v>1.85470447761194</v>
      </c>
      <c r="AX393" s="5">
        <v>0.837703482587065</v>
      </c>
      <c r="AY393" s="5">
        <v>0.0575117744610282</v>
      </c>
      <c r="AZ393" s="5">
        <v>0.184299170812604</v>
      </c>
      <c r="BA393" s="5">
        <v>0.0576238805970149</v>
      </c>
      <c r="BB393" s="5">
        <v>0.0553864013266998</v>
      </c>
      <c r="BC393" s="5">
        <v>0.0518885572139304</v>
      </c>
      <c r="BD393" s="5">
        <v>0.0505459369817579</v>
      </c>
      <c r="BE393" s="5">
        <v>0.0</v>
      </c>
      <c r="BF393" s="5">
        <v>0.0</v>
      </c>
      <c r="BG393" s="5">
        <v>0.0</v>
      </c>
      <c r="BH393" s="5">
        <v>0.0</v>
      </c>
      <c r="BI393" s="5">
        <v>0.0</v>
      </c>
      <c r="BJ393" s="5">
        <v>0.0</v>
      </c>
      <c r="BK393" s="5">
        <v>0.25</v>
      </c>
      <c r="BL393" s="5">
        <v>0.25</v>
      </c>
      <c r="BM393" s="5">
        <v>0.25</v>
      </c>
      <c r="BN393" s="5">
        <v>0.25</v>
      </c>
      <c r="BO393" s="5">
        <v>0.346458</v>
      </c>
      <c r="BP393" s="5">
        <v>0.347638</v>
      </c>
      <c r="BQ393" s="5">
        <v>0.350207</v>
      </c>
      <c r="BR393" s="5">
        <v>0.25</v>
      </c>
    </row>
    <row r="394" ht="15.75" customHeight="1">
      <c r="A394" s="4" t="str">
        <f t="shared" si="1"/>
        <v>Liabilities|Portfolio investment, Debt securities, Long-term, Positions, Derived using counterparty information|Kosovo, Republic of|Half-yearly, semester</v>
      </c>
      <c r="B394" s="4" t="s">
        <v>72</v>
      </c>
      <c r="C394" s="4" t="s">
        <v>729</v>
      </c>
      <c r="D394" s="4" t="s">
        <v>74</v>
      </c>
      <c r="E394" s="4" t="s">
        <v>75</v>
      </c>
      <c r="F394" s="4" t="s">
        <v>76</v>
      </c>
      <c r="G394" s="4" t="s">
        <v>549</v>
      </c>
      <c r="H394" s="4" t="s">
        <v>78</v>
      </c>
      <c r="I394" s="4" t="s">
        <v>78</v>
      </c>
      <c r="J394" s="4" t="s">
        <v>527</v>
      </c>
      <c r="K394" s="4" t="s">
        <v>80</v>
      </c>
      <c r="L394" s="4" t="s">
        <v>81</v>
      </c>
      <c r="AN394" s="5">
        <v>0.0</v>
      </c>
      <c r="AP394" s="5">
        <v>0.0</v>
      </c>
      <c r="AR394" s="5">
        <v>0.0</v>
      </c>
      <c r="AS394" s="5">
        <v>0.0</v>
      </c>
      <c r="AT394" s="5">
        <v>0.0</v>
      </c>
      <c r="AU394" s="5">
        <v>0.0</v>
      </c>
      <c r="AV394" s="5">
        <v>0.0</v>
      </c>
      <c r="AW394" s="5">
        <v>0.0</v>
      </c>
      <c r="AX394" s="5">
        <v>0.0</v>
      </c>
      <c r="AY394" s="5">
        <v>0.0</v>
      </c>
      <c r="AZ394" s="5">
        <v>0.0</v>
      </c>
      <c r="BA394" s="5">
        <v>0.0</v>
      </c>
      <c r="BB394" s="5">
        <v>0.0</v>
      </c>
      <c r="BC394" s="5">
        <v>0.0</v>
      </c>
      <c r="BD394" s="5">
        <v>0.0</v>
      </c>
      <c r="BE394" s="5">
        <v>0.0</v>
      </c>
      <c r="BF394" s="5">
        <v>0.0</v>
      </c>
      <c r="BG394" s="5">
        <v>0.0</v>
      </c>
      <c r="BH394" s="5">
        <v>0.0</v>
      </c>
      <c r="BI394" s="5">
        <v>0.0</v>
      </c>
      <c r="BJ394" s="5">
        <v>0.0</v>
      </c>
      <c r="BK394" s="5">
        <v>0.0</v>
      </c>
      <c r="BL394" s="5">
        <v>0.0</v>
      </c>
      <c r="BM394" s="5">
        <v>0.0</v>
      </c>
      <c r="BN394" s="5">
        <v>0.0</v>
      </c>
      <c r="BO394" s="5">
        <v>0.0</v>
      </c>
      <c r="BP394" s="5">
        <v>0.0</v>
      </c>
      <c r="BQ394" s="5">
        <v>0.0</v>
      </c>
      <c r="BR394" s="5">
        <v>0.0</v>
      </c>
    </row>
    <row r="395" ht="15.75" customHeight="1">
      <c r="A395" s="4" t="str">
        <f t="shared" si="1"/>
        <v>Liabilities|Portfolio investment, Debt securities, Long-term, Positions, Derived using counterparty information|Belgium|Half-yearly, semester</v>
      </c>
      <c r="B395" s="4" t="s">
        <v>72</v>
      </c>
      <c r="C395" s="4" t="s">
        <v>730</v>
      </c>
      <c r="D395" s="4" t="s">
        <v>74</v>
      </c>
      <c r="E395" s="4" t="s">
        <v>75</v>
      </c>
      <c r="F395" s="4" t="s">
        <v>76</v>
      </c>
      <c r="G395" s="4" t="s">
        <v>549</v>
      </c>
      <c r="H395" s="4" t="s">
        <v>78</v>
      </c>
      <c r="I395" s="4" t="s">
        <v>78</v>
      </c>
      <c r="J395" s="4" t="s">
        <v>600</v>
      </c>
      <c r="K395" s="4" t="s">
        <v>80</v>
      </c>
      <c r="L395" s="4" t="s">
        <v>81</v>
      </c>
      <c r="N395" s="5">
        <v>38.5447329902492</v>
      </c>
      <c r="V395" s="5">
        <v>67.622149</v>
      </c>
      <c r="X395" s="5">
        <v>81.969821249</v>
      </c>
      <c r="Z395" s="5">
        <v>88.3962333</v>
      </c>
      <c r="AB395" s="5">
        <v>150.3226663402</v>
      </c>
      <c r="AD395" s="5">
        <v>193.308764491446</v>
      </c>
      <c r="AF395" s="5">
        <v>64.774011</v>
      </c>
      <c r="AH395" s="5">
        <v>76.4667624</v>
      </c>
      <c r="AJ395" s="5">
        <v>99.9584466188085</v>
      </c>
      <c r="AL395" s="5">
        <v>7.05894</v>
      </c>
      <c r="AN395" s="5">
        <v>1.376286</v>
      </c>
      <c r="AP395" s="5">
        <v>79.05729</v>
      </c>
      <c r="AR395" s="5">
        <v>101.32992</v>
      </c>
      <c r="AS395" s="5">
        <v>115.8888</v>
      </c>
      <c r="AT395" s="5">
        <v>130.87659</v>
      </c>
      <c r="AU395" s="5">
        <v>171.54448</v>
      </c>
      <c r="AV395" s="5">
        <v>185.02884</v>
      </c>
      <c r="AW395" s="5">
        <v>68.81235</v>
      </c>
      <c r="AX395" s="5">
        <v>163.19613</v>
      </c>
      <c r="AY395" s="5">
        <v>138.66398</v>
      </c>
      <c r="AZ395" s="5">
        <v>249.92711</v>
      </c>
      <c r="BA395" s="5">
        <v>311.66172</v>
      </c>
      <c r="BB395" s="5">
        <v>285.31347</v>
      </c>
      <c r="BC395" s="5">
        <v>357.3177</v>
      </c>
      <c r="BD395" s="5">
        <v>371.0945</v>
      </c>
      <c r="BE395" s="5">
        <v>319.4366</v>
      </c>
      <c r="BF395" s="5">
        <v>326.9094</v>
      </c>
      <c r="BG395" s="5">
        <v>285.549</v>
      </c>
      <c r="BH395" s="5">
        <v>312.9105</v>
      </c>
      <c r="BI395" s="5">
        <v>250.7524</v>
      </c>
      <c r="BJ395" s="5">
        <v>236.7134</v>
      </c>
      <c r="BK395" s="5">
        <v>163.0759</v>
      </c>
      <c r="BL395" s="5">
        <v>306.1142</v>
      </c>
      <c r="BM395" s="5">
        <v>344.4522</v>
      </c>
      <c r="BN395" s="5">
        <v>426.53</v>
      </c>
      <c r="BO395" s="5">
        <v>370.393</v>
      </c>
      <c r="BP395" s="5">
        <v>290.892</v>
      </c>
      <c r="BQ395" s="5">
        <v>308.236</v>
      </c>
      <c r="BR395" s="5">
        <v>282.0</v>
      </c>
    </row>
    <row r="396" ht="15.75" customHeight="1">
      <c r="A396" s="4" t="str">
        <f t="shared" si="1"/>
        <v>Liabilities|Portfolio investment, Debt securities, Long-term, Positions, Derived using counterparty information|Germany|Half-yearly, semester</v>
      </c>
      <c r="B396" s="4" t="s">
        <v>72</v>
      </c>
      <c r="C396" s="4" t="s">
        <v>731</v>
      </c>
      <c r="D396" s="4" t="s">
        <v>74</v>
      </c>
      <c r="E396" s="4" t="s">
        <v>75</v>
      </c>
      <c r="F396" s="4" t="s">
        <v>76</v>
      </c>
      <c r="G396" s="4" t="s">
        <v>549</v>
      </c>
      <c r="H396" s="4" t="s">
        <v>78</v>
      </c>
      <c r="I396" s="4" t="s">
        <v>78</v>
      </c>
      <c r="J396" s="4" t="s">
        <v>678</v>
      </c>
      <c r="K396" s="4" t="s">
        <v>80</v>
      </c>
      <c r="L396" s="4" t="s">
        <v>81</v>
      </c>
      <c r="V396" s="5">
        <v>211.512</v>
      </c>
      <c r="X396" s="5">
        <v>217.0809</v>
      </c>
      <c r="Z396" s="5">
        <v>298.068</v>
      </c>
      <c r="AB396" s="5">
        <v>326.904</v>
      </c>
      <c r="AD396" s="5">
        <v>287.8468</v>
      </c>
      <c r="AF396" s="5">
        <v>246.279</v>
      </c>
      <c r="AH396" s="5">
        <v>376.8576</v>
      </c>
      <c r="AJ396" s="5">
        <v>441.1689</v>
      </c>
      <c r="AL396" s="5">
        <v>116.6886</v>
      </c>
      <c r="AN396" s="5">
        <v>517.1094</v>
      </c>
      <c r="AP396" s="5">
        <v>706.4694</v>
      </c>
      <c r="AR396" s="5">
        <v>1096.4214</v>
      </c>
      <c r="AS396" s="5">
        <v>1179.816</v>
      </c>
      <c r="AT396" s="5">
        <v>1457.7087</v>
      </c>
      <c r="AU396" s="5">
        <v>1734.566</v>
      </c>
      <c r="AV396" s="5">
        <v>1765.3014</v>
      </c>
      <c r="AW396" s="5">
        <v>1288.9728</v>
      </c>
      <c r="AX396" s="5">
        <v>2387.5191</v>
      </c>
      <c r="AY396" s="5">
        <v>2167.1104</v>
      </c>
      <c r="AZ396" s="5">
        <v>2168.2837</v>
      </c>
      <c r="BA396" s="5">
        <v>2823.3288</v>
      </c>
      <c r="BB396" s="5">
        <v>3799.3824</v>
      </c>
      <c r="BC396" s="5">
        <v>3275.898</v>
      </c>
      <c r="BD396" s="5">
        <v>3217.45</v>
      </c>
      <c r="BE396" s="5">
        <v>2918.97</v>
      </c>
      <c r="BF396" s="5">
        <v>3440.9742</v>
      </c>
      <c r="BG396" s="5">
        <v>3291.0922</v>
      </c>
      <c r="BH396" s="5">
        <v>3849.4127</v>
      </c>
      <c r="BI396" s="5">
        <v>4387.5728</v>
      </c>
      <c r="BJ396" s="5">
        <v>5459.132</v>
      </c>
      <c r="BK396" s="5">
        <v>4292.9471</v>
      </c>
      <c r="BL396" s="5">
        <v>5478.0576</v>
      </c>
      <c r="BM396" s="5">
        <v>5783.9718</v>
      </c>
      <c r="BN396" s="5">
        <v>5454.28</v>
      </c>
      <c r="BO396" s="5">
        <v>4730.5395</v>
      </c>
      <c r="BP396" s="5">
        <v>4682.3223</v>
      </c>
      <c r="BQ396" s="5">
        <v>5302.128</v>
      </c>
      <c r="BR396" s="5">
        <v>5222.875</v>
      </c>
    </row>
    <row r="397" ht="15.75" customHeight="1">
      <c r="A397" s="4" t="str">
        <f t="shared" si="1"/>
        <v>Liabilities|Portfolio investment, Debt securities, Long-term, Positions, Derived using counterparty information|Australia|Half-yearly, semester</v>
      </c>
      <c r="B397" s="4" t="s">
        <v>72</v>
      </c>
      <c r="C397" s="4" t="s">
        <v>732</v>
      </c>
      <c r="D397" s="4" t="s">
        <v>74</v>
      </c>
      <c r="E397" s="4" t="s">
        <v>75</v>
      </c>
      <c r="F397" s="4" t="s">
        <v>76</v>
      </c>
      <c r="G397" s="4" t="s">
        <v>549</v>
      </c>
      <c r="H397" s="4" t="s">
        <v>78</v>
      </c>
      <c r="I397" s="4" t="s">
        <v>78</v>
      </c>
      <c r="J397" s="4" t="s">
        <v>703</v>
      </c>
      <c r="K397" s="4" t="s">
        <v>80</v>
      </c>
      <c r="L397" s="4" t="s">
        <v>81</v>
      </c>
      <c r="N397" s="5">
        <v>159.82469334867</v>
      </c>
      <c r="V397" s="5">
        <v>528.471</v>
      </c>
      <c r="X397" s="5">
        <v>250.8266</v>
      </c>
      <c r="AJ397" s="5">
        <v>901.332800000002</v>
      </c>
      <c r="AN397" s="5">
        <v>1380.1354</v>
      </c>
      <c r="AT397" s="5">
        <v>1753.497</v>
      </c>
      <c r="BA397" s="5">
        <v>3346.78920000001</v>
      </c>
      <c r="BD397" s="5">
        <v>4054.82100000001</v>
      </c>
      <c r="BF397" s="5">
        <v>6107.13019999999</v>
      </c>
      <c r="BH397" s="5">
        <v>6999.57760000002</v>
      </c>
      <c r="BJ397" s="5">
        <v>6155.23359920001</v>
      </c>
      <c r="BL397" s="5">
        <v>6284.60720750001</v>
      </c>
      <c r="BN397" s="5">
        <v>7633.82564100841</v>
      </c>
      <c r="BP397" s="5">
        <v>8899.64778308955</v>
      </c>
      <c r="BR397" s="5">
        <v>11140.8286025444</v>
      </c>
    </row>
    <row r="398" ht="15.75" customHeight="1">
      <c r="A398" s="4" t="str">
        <f t="shared" si="1"/>
        <v>Liabilities|Portfolio investment, Debt securities, Long-term, Positions, Derived using counterparty information|Hong Kong Special Administrative Region, People's Republic of China|Half-yearly, semester</v>
      </c>
      <c r="B398" s="4" t="s">
        <v>72</v>
      </c>
      <c r="C398" s="4" t="s">
        <v>733</v>
      </c>
      <c r="D398" s="4" t="s">
        <v>74</v>
      </c>
      <c r="E398" s="4" t="s">
        <v>75</v>
      </c>
      <c r="F398" s="4" t="s">
        <v>76</v>
      </c>
      <c r="G398" s="4" t="s">
        <v>549</v>
      </c>
      <c r="H398" s="4" t="s">
        <v>78</v>
      </c>
      <c r="I398" s="4" t="s">
        <v>78</v>
      </c>
      <c r="J398" s="4" t="s">
        <v>626</v>
      </c>
      <c r="K398" s="4" t="s">
        <v>80</v>
      </c>
      <c r="L398" s="4" t="s">
        <v>81</v>
      </c>
      <c r="X398" s="5">
        <v>318.0</v>
      </c>
      <c r="Z398" s="5">
        <v>420.0</v>
      </c>
      <c r="AB398" s="5">
        <v>367.402071139127</v>
      </c>
      <c r="AD398" s="5">
        <v>349.177684617865</v>
      </c>
      <c r="AF398" s="5">
        <v>432.310759534375</v>
      </c>
      <c r="AH398" s="5">
        <v>414.535666218035</v>
      </c>
      <c r="AJ398" s="5">
        <v>468.614928069157</v>
      </c>
      <c r="AL398" s="5">
        <v>649.345625684998</v>
      </c>
      <c r="AN398" s="5">
        <v>1017.68602482475</v>
      </c>
      <c r="AP398" s="5">
        <v>493.335908827506</v>
      </c>
      <c r="AR398" s="5">
        <v>591.316689245855</v>
      </c>
      <c r="AS398" s="5">
        <v>407.142396699542</v>
      </c>
      <c r="AT398" s="5">
        <v>270.58747662346</v>
      </c>
      <c r="AU398" s="5">
        <v>402.296626024128</v>
      </c>
      <c r="AV398" s="5">
        <v>348.140029656373</v>
      </c>
      <c r="AW398" s="5">
        <v>345.094497839128</v>
      </c>
      <c r="AX398" s="5">
        <v>340.23611379911</v>
      </c>
      <c r="AY398" s="5">
        <v>223.23902816266</v>
      </c>
      <c r="AZ398" s="5">
        <v>442.868197059582</v>
      </c>
      <c r="BA398" s="5">
        <v>1157.1666453183</v>
      </c>
      <c r="BB398" s="5">
        <v>1193.8827745073</v>
      </c>
      <c r="BC398" s="5">
        <v>1725.97501911802</v>
      </c>
      <c r="BD398" s="5">
        <v>1788.86903242277</v>
      </c>
      <c r="BE398" s="5">
        <v>1910.90629800307</v>
      </c>
      <c r="BF398" s="5">
        <v>1940.9271863362</v>
      </c>
      <c r="BG398" s="5">
        <v>1810.48829258853</v>
      </c>
      <c r="BH398" s="5">
        <v>2244.67947891139</v>
      </c>
      <c r="BI398" s="5">
        <v>1913.09385863268</v>
      </c>
    </row>
    <row r="399" ht="15.75" customHeight="1">
      <c r="A399" s="4" t="str">
        <f t="shared" si="1"/>
        <v>Liabilities|Portfolio investment, Debt securities, Long-term, Positions, Derived using counterparty information|Greece|Half-yearly, semester</v>
      </c>
      <c r="B399" s="4" t="s">
        <v>72</v>
      </c>
      <c r="C399" s="4" t="s">
        <v>734</v>
      </c>
      <c r="D399" s="4" t="s">
        <v>74</v>
      </c>
      <c r="E399" s="4" t="s">
        <v>75</v>
      </c>
      <c r="F399" s="4" t="s">
        <v>76</v>
      </c>
      <c r="G399" s="4" t="s">
        <v>549</v>
      </c>
      <c r="H399" s="4" t="s">
        <v>78</v>
      </c>
      <c r="I399" s="4" t="s">
        <v>78</v>
      </c>
      <c r="J399" s="4" t="s">
        <v>109</v>
      </c>
      <c r="K399" s="4" t="s">
        <v>80</v>
      </c>
      <c r="L399" s="4" t="s">
        <v>81</v>
      </c>
      <c r="X399" s="5">
        <v>3.1461</v>
      </c>
      <c r="Z399" s="5">
        <v>0.0</v>
      </c>
      <c r="AB399" s="5">
        <v>1.3621</v>
      </c>
      <c r="AD399" s="5">
        <v>1.1797</v>
      </c>
      <c r="AF399" s="5">
        <v>0.0</v>
      </c>
      <c r="AH399" s="5">
        <v>0.0</v>
      </c>
      <c r="AJ399" s="5">
        <v>0.0</v>
      </c>
      <c r="AL399" s="5">
        <v>0.0</v>
      </c>
      <c r="AN399" s="5">
        <v>0.0</v>
      </c>
      <c r="AP399" s="5">
        <v>0.0</v>
      </c>
      <c r="AR399" s="5">
        <v>1.3194</v>
      </c>
      <c r="AS399" s="5">
        <v>1.308</v>
      </c>
      <c r="AT399" s="5">
        <v>5.5164</v>
      </c>
      <c r="AU399" s="5">
        <v>5.4632</v>
      </c>
      <c r="AV399" s="5">
        <v>0.0</v>
      </c>
      <c r="AW399" s="5">
        <v>2.2378</v>
      </c>
      <c r="AX399" s="5">
        <v>4.3548</v>
      </c>
      <c r="AY399" s="5">
        <v>4.4408</v>
      </c>
      <c r="AZ399" s="5">
        <v>4.2164</v>
      </c>
      <c r="BA399" s="5">
        <v>2.2824</v>
      </c>
      <c r="BB399" s="5">
        <v>3.5979</v>
      </c>
      <c r="BC399" s="5">
        <v>1.1658</v>
      </c>
      <c r="BD399" s="5">
        <v>2.29</v>
      </c>
      <c r="BE399" s="5">
        <v>6.828</v>
      </c>
      <c r="BF399" s="5">
        <v>1.1234</v>
      </c>
      <c r="BG399" s="5">
        <v>1.1198</v>
      </c>
      <c r="BH399" s="5">
        <v>1.2271</v>
      </c>
      <c r="BI399" s="5">
        <v>1.1884</v>
      </c>
      <c r="BJ399" s="5">
        <v>1.1326</v>
      </c>
      <c r="BK399" s="5">
        <v>2.0774</v>
      </c>
      <c r="BL399" s="5">
        <v>9.5994</v>
      </c>
      <c r="BM399" s="5">
        <v>4.3464</v>
      </c>
      <c r="BN399" s="5">
        <v>6.63</v>
      </c>
      <c r="BO399" s="5">
        <v>6.423</v>
      </c>
      <c r="BP399" s="5">
        <v>6.2334</v>
      </c>
      <c r="BQ399" s="5">
        <v>5.86</v>
      </c>
      <c r="BR399" s="5">
        <v>11.75</v>
      </c>
    </row>
    <row r="400" ht="15.75" customHeight="1">
      <c r="A400" s="4" t="str">
        <f t="shared" si="1"/>
        <v>Liabilities|Portfolio investment, Debt securities, Long-term, Positions, Derived using counterparty information|El Salvador|Half-yearly, semester</v>
      </c>
      <c r="B400" s="4" t="s">
        <v>72</v>
      </c>
      <c r="C400" s="4" t="s">
        <v>735</v>
      </c>
      <c r="D400" s="4" t="s">
        <v>74</v>
      </c>
      <c r="E400" s="4" t="s">
        <v>75</v>
      </c>
      <c r="F400" s="4" t="s">
        <v>76</v>
      </c>
      <c r="G400" s="4" t="s">
        <v>549</v>
      </c>
      <c r="H400" s="4" t="s">
        <v>78</v>
      </c>
      <c r="I400" s="4" t="s">
        <v>78</v>
      </c>
      <c r="J400" s="4" t="s">
        <v>229</v>
      </c>
      <c r="K400" s="4" t="s">
        <v>80</v>
      </c>
      <c r="L400" s="4" t="s">
        <v>81</v>
      </c>
      <c r="BD400" s="5">
        <v>0.0</v>
      </c>
      <c r="BE400" s="5">
        <v>0.0</v>
      </c>
      <c r="BF400" s="5">
        <v>0.0</v>
      </c>
      <c r="BG400" s="5">
        <v>0.0</v>
      </c>
      <c r="BH400" s="5">
        <v>0.0</v>
      </c>
      <c r="BI400" s="5">
        <v>0.0</v>
      </c>
      <c r="BJ400" s="5">
        <v>0.0</v>
      </c>
      <c r="BK400" s="5">
        <v>0.0</v>
      </c>
      <c r="BL400" s="5">
        <v>0.0</v>
      </c>
      <c r="BM400" s="5">
        <v>0.0</v>
      </c>
      <c r="BN400" s="5">
        <v>0.0</v>
      </c>
      <c r="BO400" s="5">
        <v>0.0</v>
      </c>
      <c r="BP400" s="5">
        <v>0.0</v>
      </c>
      <c r="BQ400" s="5">
        <v>0.0</v>
      </c>
      <c r="BR400" s="5">
        <v>0.0</v>
      </c>
    </row>
    <row r="401" ht="15.75" customHeight="1">
      <c r="A401" s="4" t="str">
        <f t="shared" si="1"/>
        <v>Liabilities|Portfolio investment, Debt securities, Long-term, Positions, Derived using counterparty information|Malaysia|Half-yearly, semester</v>
      </c>
      <c r="B401" s="4" t="s">
        <v>72</v>
      </c>
      <c r="C401" s="4" t="s">
        <v>736</v>
      </c>
      <c r="D401" s="4" t="s">
        <v>74</v>
      </c>
      <c r="E401" s="4" t="s">
        <v>75</v>
      </c>
      <c r="F401" s="4" t="s">
        <v>76</v>
      </c>
      <c r="G401" s="4" t="s">
        <v>549</v>
      </c>
      <c r="H401" s="4" t="s">
        <v>78</v>
      </c>
      <c r="I401" s="4" t="s">
        <v>78</v>
      </c>
      <c r="J401" s="4" t="s">
        <v>666</v>
      </c>
      <c r="K401" s="4" t="s">
        <v>80</v>
      </c>
      <c r="L401" s="4" t="s">
        <v>81</v>
      </c>
      <c r="N401" s="5">
        <v>2.98054934607775</v>
      </c>
      <c r="V401" s="5">
        <v>0.0310526315789474</v>
      </c>
      <c r="X401" s="5">
        <v>0.0389473684210526</v>
      </c>
      <c r="AB401" s="5">
        <v>9.46842105263158</v>
      </c>
      <c r="AD401" s="5">
        <v>0.0</v>
      </c>
      <c r="AL401" s="5">
        <v>4.96422835450431</v>
      </c>
      <c r="AN401" s="5">
        <v>5.05417114642452</v>
      </c>
      <c r="AP401" s="5">
        <v>2.51389537614101</v>
      </c>
      <c r="AR401" s="5">
        <v>0.0</v>
      </c>
      <c r="AS401" s="5">
        <v>0.0</v>
      </c>
      <c r="AT401" s="5">
        <v>0.0852109766874905</v>
      </c>
      <c r="AU401" s="5">
        <v>30.5989169848933</v>
      </c>
      <c r="AV401" s="5">
        <v>24.6204621459228</v>
      </c>
      <c r="AW401" s="5">
        <v>14.597798737287</v>
      </c>
      <c r="AX401" s="5">
        <v>2.30683093662628</v>
      </c>
      <c r="AY401" s="5">
        <v>4.74378141205718</v>
      </c>
      <c r="AZ401" s="5">
        <v>3.09643767944717</v>
      </c>
      <c r="BA401" s="5">
        <v>6.73257773870517</v>
      </c>
      <c r="BB401" s="5">
        <v>5.80613083210241</v>
      </c>
      <c r="BC401" s="5">
        <v>15.4121711848459</v>
      </c>
      <c r="BD401" s="5">
        <v>14.4756911731304</v>
      </c>
      <c r="BE401" s="5">
        <v>70.0755036190246</v>
      </c>
      <c r="BF401" s="5">
        <v>55.5306718778253</v>
      </c>
      <c r="BG401" s="5">
        <v>56.4534601752336</v>
      </c>
      <c r="BH401" s="5">
        <v>60.2983443060055</v>
      </c>
      <c r="BI401" s="5">
        <v>50.9359061659746</v>
      </c>
      <c r="BJ401" s="5">
        <v>70.4518212859195</v>
      </c>
      <c r="BK401" s="5">
        <v>102.04902949495</v>
      </c>
      <c r="BL401" s="5">
        <v>153.718763938364</v>
      </c>
      <c r="BM401" s="5">
        <v>129.104313650353</v>
      </c>
      <c r="BN401" s="5">
        <v>161.086505856474</v>
      </c>
      <c r="BO401" s="5">
        <v>199.210600391991</v>
      </c>
      <c r="BP401" s="5">
        <v>267.696669275168</v>
      </c>
      <c r="BQ401" s="5">
        <v>544.082875423287</v>
      </c>
      <c r="BR401" s="5">
        <v>1153.81204826966</v>
      </c>
    </row>
    <row r="402" ht="15.75" customHeight="1">
      <c r="A402" s="4" t="str">
        <f t="shared" si="1"/>
        <v>Liabilities|Portfolio investment, Debt securities, Long-term, Positions, Derived using counterparty information|Cayman Islands|Half-yearly, semester</v>
      </c>
      <c r="B402" s="4" t="s">
        <v>72</v>
      </c>
      <c r="C402" s="4" t="s">
        <v>737</v>
      </c>
      <c r="D402" s="4" t="s">
        <v>74</v>
      </c>
      <c r="E402" s="4" t="s">
        <v>75</v>
      </c>
      <c r="F402" s="4" t="s">
        <v>76</v>
      </c>
      <c r="G402" s="4" t="s">
        <v>549</v>
      </c>
      <c r="H402" s="4" t="s">
        <v>78</v>
      </c>
      <c r="I402" s="4" t="s">
        <v>78</v>
      </c>
      <c r="J402" s="4" t="s">
        <v>602</v>
      </c>
      <c r="K402" s="4" t="s">
        <v>80</v>
      </c>
      <c r="L402" s="4" t="s">
        <v>81</v>
      </c>
      <c r="X402" s="5">
        <v>90.819</v>
      </c>
      <c r="AD402" s="5">
        <v>31.296</v>
      </c>
      <c r="AF402" s="5">
        <v>33.0</v>
      </c>
      <c r="AH402" s="5">
        <v>32.0</v>
      </c>
      <c r="AJ402" s="5">
        <v>34.0</v>
      </c>
      <c r="AL402" s="5">
        <v>43.0</v>
      </c>
      <c r="AN402" s="5">
        <v>26.0</v>
      </c>
      <c r="AP402" s="5">
        <v>2.0</v>
      </c>
      <c r="AR402" s="5">
        <v>22.0</v>
      </c>
      <c r="AS402" s="5">
        <v>15.0</v>
      </c>
      <c r="AT402" s="5">
        <v>16.0</v>
      </c>
      <c r="AU402" s="5">
        <v>17.0</v>
      </c>
      <c r="AV402" s="5">
        <v>15.0</v>
      </c>
      <c r="AW402" s="5">
        <v>17.0</v>
      </c>
      <c r="AX402" s="5">
        <v>509.0</v>
      </c>
      <c r="AY402" s="5">
        <v>560.0</v>
      </c>
      <c r="AZ402" s="5">
        <v>152.0</v>
      </c>
      <c r="BA402" s="5">
        <v>152.0</v>
      </c>
      <c r="BB402" s="5">
        <v>835.0</v>
      </c>
      <c r="BC402" s="5">
        <v>835.0</v>
      </c>
      <c r="BD402" s="5">
        <v>832.0</v>
      </c>
      <c r="BE402" s="5">
        <v>828.126809</v>
      </c>
      <c r="BF402" s="5">
        <v>854.554449</v>
      </c>
      <c r="BG402" s="5">
        <v>861.554449</v>
      </c>
      <c r="BH402" s="5">
        <v>601.136983</v>
      </c>
      <c r="BI402" s="5">
        <v>603.37739</v>
      </c>
      <c r="BJ402" s="5">
        <v>679.318688</v>
      </c>
      <c r="BK402" s="5">
        <v>684.4034408</v>
      </c>
      <c r="BL402" s="5">
        <v>845.28556331</v>
      </c>
      <c r="BM402" s="5">
        <v>845.28556331</v>
      </c>
      <c r="BN402" s="5">
        <v>1695.056751</v>
      </c>
      <c r="BO402" s="5">
        <v>1695.056751</v>
      </c>
      <c r="BP402" s="5">
        <v>1436.84605736</v>
      </c>
      <c r="BQ402" s="5">
        <v>1436.84605736</v>
      </c>
      <c r="BR402" s="5">
        <v>2385.5836792</v>
      </c>
    </row>
    <row r="403" ht="15.75" customHeight="1">
      <c r="A403" s="4" t="str">
        <f t="shared" si="1"/>
        <v>Liabilities|Portfolio investment, Debt securities, Long-term, Positions, Derived using counterparty information|Israel|Half-yearly, semester</v>
      </c>
      <c r="B403" s="4" t="s">
        <v>72</v>
      </c>
      <c r="C403" s="4" t="s">
        <v>738</v>
      </c>
      <c r="D403" s="4" t="s">
        <v>74</v>
      </c>
      <c r="E403" s="4" t="s">
        <v>75</v>
      </c>
      <c r="F403" s="4" t="s">
        <v>76</v>
      </c>
      <c r="G403" s="4" t="s">
        <v>549</v>
      </c>
      <c r="H403" s="4" t="s">
        <v>78</v>
      </c>
      <c r="I403" s="4" t="s">
        <v>78</v>
      </c>
      <c r="J403" s="4" t="s">
        <v>236</v>
      </c>
      <c r="K403" s="4" t="s">
        <v>80</v>
      </c>
      <c r="L403" s="4" t="s">
        <v>81</v>
      </c>
      <c r="N403" s="5">
        <v>6.056</v>
      </c>
      <c r="V403" s="5">
        <v>3.0</v>
      </c>
      <c r="X403" s="5">
        <v>4.0</v>
      </c>
      <c r="Z403" s="5">
        <v>5.0</v>
      </c>
      <c r="AB403" s="5">
        <v>4.0</v>
      </c>
      <c r="AD403" s="5">
        <v>13.0</v>
      </c>
      <c r="AF403" s="5">
        <v>13.0</v>
      </c>
      <c r="AH403" s="5">
        <v>15.0</v>
      </c>
      <c r="AJ403" s="5">
        <v>9.0</v>
      </c>
      <c r="AL403" s="5">
        <v>128.0</v>
      </c>
      <c r="AN403" s="5">
        <v>68.0</v>
      </c>
      <c r="AP403" s="5">
        <v>58.0</v>
      </c>
      <c r="AR403" s="5">
        <v>23.0</v>
      </c>
      <c r="AS403" s="5">
        <v>2.0</v>
      </c>
      <c r="AT403" s="5">
        <v>2.0</v>
      </c>
      <c r="AU403" s="5">
        <v>5.0</v>
      </c>
      <c r="AV403" s="5">
        <v>6.0</v>
      </c>
      <c r="AW403" s="5">
        <v>6.0</v>
      </c>
      <c r="AX403" s="5">
        <v>6.0</v>
      </c>
      <c r="AY403" s="5">
        <v>8.0</v>
      </c>
      <c r="AZ403" s="5">
        <v>10.0</v>
      </c>
      <c r="BA403" s="5">
        <v>8.0</v>
      </c>
      <c r="BB403" s="5">
        <v>14.0</v>
      </c>
      <c r="BC403" s="5">
        <v>18.0</v>
      </c>
      <c r="BD403" s="5">
        <v>12.0</v>
      </c>
      <c r="BE403" s="5">
        <v>7.0</v>
      </c>
      <c r="BF403" s="5">
        <v>7.0</v>
      </c>
      <c r="BG403" s="5">
        <v>17.0</v>
      </c>
      <c r="BH403" s="5">
        <v>15.0</v>
      </c>
      <c r="BI403" s="5">
        <v>14.0</v>
      </c>
      <c r="BJ403" s="5">
        <v>21.0</v>
      </c>
      <c r="BK403" s="5">
        <v>17.0</v>
      </c>
      <c r="BL403" s="5">
        <v>17.0</v>
      </c>
      <c r="BM403" s="5">
        <v>31.0</v>
      </c>
      <c r="BN403" s="5">
        <v>31.0</v>
      </c>
      <c r="BO403" s="5">
        <v>25.0</v>
      </c>
      <c r="BP403" s="5">
        <v>26.0</v>
      </c>
      <c r="BQ403" s="5">
        <v>24.0</v>
      </c>
      <c r="BR403" s="5">
        <v>26.0</v>
      </c>
    </row>
    <row r="404" ht="15.75" customHeight="1">
      <c r="A404" s="4" t="str">
        <f t="shared" si="1"/>
        <v>Liabilities|Portfolio investment, Debt securities, Long-term, Positions, Derived using counterparty information|Panama|Half-yearly, semester</v>
      </c>
      <c r="B404" s="4" t="s">
        <v>72</v>
      </c>
      <c r="C404" s="4" t="s">
        <v>739</v>
      </c>
      <c r="D404" s="4" t="s">
        <v>74</v>
      </c>
      <c r="E404" s="4" t="s">
        <v>75</v>
      </c>
      <c r="F404" s="4" t="s">
        <v>76</v>
      </c>
      <c r="G404" s="4" t="s">
        <v>549</v>
      </c>
      <c r="H404" s="4" t="s">
        <v>78</v>
      </c>
      <c r="I404" s="4" t="s">
        <v>78</v>
      </c>
      <c r="J404" s="4" t="s">
        <v>231</v>
      </c>
      <c r="K404" s="4" t="s">
        <v>80</v>
      </c>
      <c r="L404" s="4" t="s">
        <v>81</v>
      </c>
      <c r="AL404" s="5">
        <v>1.0</v>
      </c>
      <c r="AN404" s="5">
        <v>0.6</v>
      </c>
      <c r="AT404" s="5">
        <v>0.01</v>
      </c>
      <c r="AU404" s="5">
        <v>0.96</v>
      </c>
      <c r="AV404" s="5">
        <v>0.95</v>
      </c>
      <c r="AW404" s="5">
        <v>4.33</v>
      </c>
      <c r="AX404" s="5">
        <v>3.9</v>
      </c>
      <c r="AY404" s="5">
        <v>3.0</v>
      </c>
      <c r="AZ404" s="5">
        <v>2.9</v>
      </c>
      <c r="BB404" s="5">
        <v>1.0</v>
      </c>
      <c r="BE404" s="5">
        <v>0.0</v>
      </c>
      <c r="BF404" s="5">
        <v>0.4294586</v>
      </c>
      <c r="BG404" s="5">
        <v>1.68693348</v>
      </c>
      <c r="BH404" s="5">
        <v>2.05077978</v>
      </c>
      <c r="BI404" s="5">
        <v>1.99961613</v>
      </c>
      <c r="BJ404" s="5">
        <v>3.78780887</v>
      </c>
      <c r="BK404" s="5">
        <v>1.93590187</v>
      </c>
      <c r="BL404" s="5">
        <v>5.0072235892</v>
      </c>
      <c r="BM404" s="5">
        <v>0.2555718</v>
      </c>
      <c r="BN404" s="5">
        <v>0.0619578</v>
      </c>
      <c r="BO404" s="5">
        <v>2.0650196</v>
      </c>
      <c r="BP404" s="5">
        <v>8.720352</v>
      </c>
      <c r="BQ404" s="5">
        <v>8.830933</v>
      </c>
      <c r="BR404" s="5">
        <v>8.910985</v>
      </c>
    </row>
    <row r="405" ht="15.75" customHeight="1">
      <c r="A405" s="4" t="str">
        <f t="shared" si="1"/>
        <v>Liabilities|Portfolio investment, Debt securities, Long-term, Positions, Derived using counterparty information|Malta|Half-yearly, semester</v>
      </c>
      <c r="B405" s="4" t="s">
        <v>72</v>
      </c>
      <c r="C405" s="4" t="s">
        <v>740</v>
      </c>
      <c r="D405" s="4" t="s">
        <v>74</v>
      </c>
      <c r="E405" s="4" t="s">
        <v>75</v>
      </c>
      <c r="F405" s="4" t="s">
        <v>76</v>
      </c>
      <c r="G405" s="4" t="s">
        <v>549</v>
      </c>
      <c r="H405" s="4" t="s">
        <v>78</v>
      </c>
      <c r="I405" s="4" t="s">
        <v>78</v>
      </c>
      <c r="J405" s="4" t="s">
        <v>125</v>
      </c>
      <c r="K405" s="4" t="s">
        <v>80</v>
      </c>
      <c r="L405" s="4" t="s">
        <v>81</v>
      </c>
      <c r="V405" s="5">
        <v>1.32726</v>
      </c>
      <c r="X405" s="5">
        <v>0.75222</v>
      </c>
    </row>
    <row r="406" ht="15.75" customHeight="1">
      <c r="A406" s="4" t="str">
        <f t="shared" si="1"/>
        <v>Liabilities|Portfolio investment, Debt securities, Long-term, Positions, Derived using counterparty information|Bermuda|Half-yearly, semester</v>
      </c>
      <c r="B406" s="4" t="s">
        <v>72</v>
      </c>
      <c r="C406" s="4" t="s">
        <v>741</v>
      </c>
      <c r="D406" s="4" t="s">
        <v>74</v>
      </c>
      <c r="E406" s="4" t="s">
        <v>75</v>
      </c>
      <c r="F406" s="4" t="s">
        <v>76</v>
      </c>
      <c r="G406" s="4" t="s">
        <v>549</v>
      </c>
      <c r="H406" s="4" t="s">
        <v>78</v>
      </c>
      <c r="I406" s="4" t="s">
        <v>78</v>
      </c>
      <c r="J406" s="4" t="s">
        <v>692</v>
      </c>
      <c r="K406" s="4" t="s">
        <v>80</v>
      </c>
      <c r="L406" s="4" t="s">
        <v>81</v>
      </c>
      <c r="N406" s="5">
        <v>343.021</v>
      </c>
      <c r="V406" s="5">
        <v>56.4300106809766</v>
      </c>
      <c r="X406" s="5">
        <v>95.069701202306</v>
      </c>
      <c r="Z406" s="5">
        <v>63.7920010824494</v>
      </c>
      <c r="AB406" s="5">
        <v>24.1374964775041</v>
      </c>
      <c r="AD406" s="5">
        <v>42.2127453919532</v>
      </c>
      <c r="AF406" s="5">
        <v>77.145346633895</v>
      </c>
      <c r="AH406" s="5">
        <v>76.6558864550731</v>
      </c>
      <c r="AJ406" s="5">
        <v>58.0</v>
      </c>
      <c r="AL406" s="5">
        <v>271.405878905873</v>
      </c>
      <c r="AN406" s="5">
        <v>551.433744388278</v>
      </c>
      <c r="AP406" s="5">
        <v>1471.91701218771</v>
      </c>
      <c r="AR406" s="5">
        <v>808.482826699953</v>
      </c>
      <c r="AT406" s="5">
        <v>203.140397955231</v>
      </c>
      <c r="AV406" s="5">
        <v>810.88137298157</v>
      </c>
      <c r="AX406" s="5">
        <v>532.748827381252</v>
      </c>
      <c r="AZ406" s="5">
        <v>823.015217</v>
      </c>
      <c r="BB406" s="5">
        <v>1057.69570598351</v>
      </c>
      <c r="BD406" s="5">
        <v>1025.58254261143</v>
      </c>
      <c r="BF406" s="5">
        <v>888.377038153461</v>
      </c>
      <c r="BH406" s="5">
        <v>863.815131453265</v>
      </c>
      <c r="BJ406" s="5">
        <v>659.201388266901</v>
      </c>
      <c r="BL406" s="5">
        <v>1392.88030823353</v>
      </c>
      <c r="BN406" s="5">
        <v>1144.7494208188</v>
      </c>
      <c r="BP406" s="5">
        <v>685.501654746929</v>
      </c>
      <c r="BR406" s="5">
        <v>1198.33098243282</v>
      </c>
    </row>
    <row r="407" ht="15.75" customHeight="1">
      <c r="A407" s="4" t="str">
        <f t="shared" si="1"/>
        <v>Liabilities|Portfolio investment, Debt securities, Long-term, Positions, Derived using counterparty information|Ireland|Half-yearly, semester</v>
      </c>
      <c r="B407" s="4" t="s">
        <v>72</v>
      </c>
      <c r="C407" s="4" t="s">
        <v>742</v>
      </c>
      <c r="D407" s="4" t="s">
        <v>74</v>
      </c>
      <c r="E407" s="4" t="s">
        <v>75</v>
      </c>
      <c r="F407" s="4" t="s">
        <v>76</v>
      </c>
      <c r="G407" s="4" t="s">
        <v>549</v>
      </c>
      <c r="H407" s="4" t="s">
        <v>78</v>
      </c>
      <c r="I407" s="4" t="s">
        <v>78</v>
      </c>
      <c r="J407" s="4" t="s">
        <v>595</v>
      </c>
      <c r="K407" s="4" t="s">
        <v>80</v>
      </c>
      <c r="L407" s="4" t="s">
        <v>81</v>
      </c>
      <c r="N407" s="5">
        <v>82.5555710448</v>
      </c>
      <c r="V407" s="5">
        <v>136.6015</v>
      </c>
      <c r="X407" s="5">
        <v>548.0352020126</v>
      </c>
      <c r="Z407" s="5">
        <v>508.724295408</v>
      </c>
      <c r="AB407" s="5">
        <v>354.146</v>
      </c>
      <c r="AD407" s="5">
        <v>633.4989</v>
      </c>
      <c r="AF407" s="5">
        <v>748.056</v>
      </c>
      <c r="AH407" s="5">
        <v>709.5522</v>
      </c>
      <c r="AL407" s="5">
        <v>511.413</v>
      </c>
      <c r="AP407" s="5">
        <v>474.8613</v>
      </c>
      <c r="AT407" s="5">
        <v>1323.936</v>
      </c>
      <c r="AU407" s="5">
        <v>1705.8842</v>
      </c>
      <c r="AV407" s="5">
        <v>1696.0977</v>
      </c>
      <c r="AW407" s="5">
        <v>1416.5274</v>
      </c>
      <c r="AX407" s="5">
        <v>1431.6405</v>
      </c>
      <c r="AZ407" s="5">
        <v>1187.9707</v>
      </c>
      <c r="BA407" s="5">
        <v>1275.8616</v>
      </c>
      <c r="BB407" s="5">
        <v>1168.1182</v>
      </c>
      <c r="BC407" s="5">
        <v>1180.9554</v>
      </c>
      <c r="BD407" s="5">
        <v>952.64</v>
      </c>
      <c r="BE407" s="5">
        <v>921.78</v>
      </c>
      <c r="BF407" s="5">
        <v>1014.4302</v>
      </c>
      <c r="BG407" s="5">
        <v>924.9548</v>
      </c>
      <c r="BH407" s="5">
        <v>1132.6133</v>
      </c>
      <c r="BI407" s="5">
        <v>1153.9364</v>
      </c>
      <c r="BK407" s="5">
        <v>1324.3425</v>
      </c>
      <c r="BL407" s="5">
        <v>1691.6276</v>
      </c>
      <c r="BN407" s="5">
        <v>1977.95</v>
      </c>
      <c r="BO407" s="5">
        <v>1788.8055</v>
      </c>
      <c r="BP407" s="5">
        <v>1822.2306</v>
      </c>
      <c r="BQ407" s="5">
        <v>2433.072</v>
      </c>
      <c r="BR407" s="5">
        <v>2953.95</v>
      </c>
    </row>
    <row r="408" ht="15.75" customHeight="1">
      <c r="A408" s="4" t="str">
        <f t="shared" si="1"/>
        <v>Liabilities|Portfolio investment, Debt securities, Long-term, Positions, Derived using counterparty information|Brazil|Half-yearly, semester</v>
      </c>
      <c r="B408" s="4" t="s">
        <v>72</v>
      </c>
      <c r="C408" s="4" t="s">
        <v>743</v>
      </c>
      <c r="D408" s="4" t="s">
        <v>74</v>
      </c>
      <c r="E408" s="4" t="s">
        <v>75</v>
      </c>
      <c r="F408" s="4" t="s">
        <v>76</v>
      </c>
      <c r="G408" s="4" t="s">
        <v>549</v>
      </c>
      <c r="H408" s="4" t="s">
        <v>78</v>
      </c>
      <c r="I408" s="4" t="s">
        <v>78</v>
      </c>
      <c r="J408" s="4" t="s">
        <v>217</v>
      </c>
      <c r="K408" s="4" t="s">
        <v>80</v>
      </c>
      <c r="L408" s="4" t="s">
        <v>81</v>
      </c>
      <c r="AD408" s="5">
        <v>0.12196778</v>
      </c>
      <c r="AF408" s="5">
        <v>0.04173554</v>
      </c>
      <c r="AH408" s="5">
        <v>0.0485</v>
      </c>
      <c r="AJ408" s="5">
        <v>0.03612151</v>
      </c>
      <c r="AN408" s="5">
        <v>0.20034688</v>
      </c>
      <c r="AP408" s="5">
        <v>0.28697182</v>
      </c>
      <c r="AR408" s="5">
        <v>0.07827331</v>
      </c>
      <c r="AS408" s="5">
        <v>0.07827331</v>
      </c>
      <c r="AT408" s="5">
        <v>0.43155455</v>
      </c>
      <c r="AU408" s="5">
        <v>0.43155455</v>
      </c>
      <c r="AV408" s="5">
        <v>0.63709646</v>
      </c>
      <c r="AW408" s="5">
        <v>0.63844646</v>
      </c>
      <c r="AX408" s="5">
        <v>0.63233658</v>
      </c>
      <c r="AY408" s="5">
        <v>0.64460658</v>
      </c>
      <c r="AZ408" s="5">
        <v>1.087041</v>
      </c>
      <c r="BA408" s="5">
        <v>1.087041</v>
      </c>
      <c r="BB408" s="5">
        <v>0.492441</v>
      </c>
      <c r="BC408" s="5">
        <v>0.492441</v>
      </c>
      <c r="BD408" s="5">
        <v>0.48566601</v>
      </c>
      <c r="BE408" s="5">
        <v>0.48566601</v>
      </c>
      <c r="BF408" s="5">
        <v>0.50409099</v>
      </c>
      <c r="BG408" s="5">
        <v>0.50409099</v>
      </c>
      <c r="BN408" s="5">
        <v>0.223581</v>
      </c>
      <c r="BO408" s="5">
        <v>0.223581</v>
      </c>
      <c r="BP408" s="5">
        <v>0.224734</v>
      </c>
      <c r="BQ408" s="5">
        <v>0.224734</v>
      </c>
      <c r="BR408" s="5">
        <v>0.423445</v>
      </c>
    </row>
    <row r="409" ht="15.75" customHeight="1">
      <c r="A409" s="4" t="str">
        <f t="shared" si="1"/>
        <v>Liabilities|Portfolio investment, Debt securities, Long-term, Positions, Derived using counterparty information|Spain|Half-yearly, semester</v>
      </c>
      <c r="B409" s="4" t="s">
        <v>72</v>
      </c>
      <c r="C409" s="4" t="s">
        <v>744</v>
      </c>
      <c r="D409" s="4" t="s">
        <v>74</v>
      </c>
      <c r="E409" s="4" t="s">
        <v>75</v>
      </c>
      <c r="F409" s="4" t="s">
        <v>76</v>
      </c>
      <c r="G409" s="4" t="s">
        <v>549</v>
      </c>
      <c r="H409" s="4" t="s">
        <v>78</v>
      </c>
      <c r="I409" s="4" t="s">
        <v>78</v>
      </c>
      <c r="J409" s="4" t="s">
        <v>664</v>
      </c>
      <c r="K409" s="4" t="s">
        <v>80</v>
      </c>
      <c r="L409" s="4" t="s">
        <v>81</v>
      </c>
      <c r="N409" s="5">
        <v>11.6807622839514</v>
      </c>
      <c r="X409" s="5">
        <v>93.22943</v>
      </c>
      <c r="Z409" s="5">
        <v>107.1024</v>
      </c>
      <c r="AB409" s="5">
        <v>184.83697</v>
      </c>
      <c r="AD409" s="5">
        <v>268.9716</v>
      </c>
      <c r="AF409" s="5">
        <v>302.1198</v>
      </c>
      <c r="AH409" s="5">
        <v>76.3902882771</v>
      </c>
      <c r="AW409" s="5">
        <v>158.8838</v>
      </c>
      <c r="AX409" s="5">
        <v>375.6015</v>
      </c>
      <c r="AY409" s="5">
        <v>1346.6726</v>
      </c>
      <c r="AZ409" s="5">
        <v>1820.4307</v>
      </c>
      <c r="BA409" s="5">
        <v>827.37</v>
      </c>
      <c r="BF409" s="5">
        <v>341.5136</v>
      </c>
      <c r="BI409" s="5">
        <v>59.42</v>
      </c>
      <c r="BJ409" s="5">
        <v>152.901</v>
      </c>
      <c r="BK409" s="5">
        <v>63.3607</v>
      </c>
      <c r="BL409" s="5">
        <v>339.1788</v>
      </c>
      <c r="BM409" s="5">
        <v>518.3082</v>
      </c>
      <c r="BN409" s="5">
        <v>714.935</v>
      </c>
      <c r="BP409" s="5">
        <v>181.8075</v>
      </c>
      <c r="BQ409" s="5">
        <v>210.96</v>
      </c>
      <c r="BR409" s="5">
        <v>289.05</v>
      </c>
    </row>
    <row r="410" ht="15.75" customHeight="1">
      <c r="A410" s="4" t="str">
        <f t="shared" si="1"/>
        <v>Liabilities|Portfolio investment, Debt securities, Long-term, Positions, Derived using counterparty information|Finland|Half-yearly, semester</v>
      </c>
      <c r="B410" s="4" t="s">
        <v>72</v>
      </c>
      <c r="C410" s="4" t="s">
        <v>745</v>
      </c>
      <c r="D410" s="4" t="s">
        <v>74</v>
      </c>
      <c r="E410" s="4" t="s">
        <v>75</v>
      </c>
      <c r="F410" s="4" t="s">
        <v>76</v>
      </c>
      <c r="G410" s="4" t="s">
        <v>549</v>
      </c>
      <c r="H410" s="4" t="s">
        <v>78</v>
      </c>
      <c r="I410" s="4" t="s">
        <v>78</v>
      </c>
      <c r="J410" s="4" t="s">
        <v>83</v>
      </c>
      <c r="K410" s="4" t="s">
        <v>80</v>
      </c>
      <c r="L410" s="4" t="s">
        <v>81</v>
      </c>
      <c r="N410" s="5">
        <v>23.0597524304979</v>
      </c>
      <c r="V410" s="5">
        <v>11.4569</v>
      </c>
      <c r="Z410" s="5">
        <v>19.43757</v>
      </c>
      <c r="AB410" s="5">
        <v>18.946811</v>
      </c>
      <c r="AD410" s="5">
        <v>13.896866</v>
      </c>
      <c r="AF410" s="5">
        <v>36.09897</v>
      </c>
      <c r="AS410" s="5">
        <v>52.0584</v>
      </c>
      <c r="AT410" s="5">
        <v>140.626827</v>
      </c>
      <c r="AU410" s="5">
        <v>155.824122</v>
      </c>
      <c r="AV410" s="5">
        <v>90.948231</v>
      </c>
      <c r="AW410" s="5">
        <v>25.544487</v>
      </c>
      <c r="AX410" s="5">
        <v>77.025525</v>
      </c>
      <c r="AY410" s="5">
        <v>144.326</v>
      </c>
      <c r="AZ410" s="5">
        <v>267.7414</v>
      </c>
      <c r="BA410" s="5">
        <v>235.0872</v>
      </c>
      <c r="BB410" s="5">
        <v>273.4404</v>
      </c>
      <c r="BC410" s="5">
        <v>81.606</v>
      </c>
      <c r="BD410" s="5">
        <v>70.99</v>
      </c>
      <c r="BE410" s="5">
        <v>80.798</v>
      </c>
      <c r="BF410" s="5">
        <v>67.404</v>
      </c>
      <c r="BG410" s="5">
        <v>155.6522</v>
      </c>
      <c r="BH410" s="5">
        <v>198.7902</v>
      </c>
      <c r="BM410" s="5">
        <v>165.1632</v>
      </c>
      <c r="BN410" s="5">
        <v>159.12</v>
      </c>
      <c r="BO410" s="5">
        <v>131.6715</v>
      </c>
      <c r="BP410" s="5">
        <v>149.6016</v>
      </c>
      <c r="BQ410" s="5">
        <v>266.044</v>
      </c>
    </row>
    <row r="411" ht="15.75" customHeight="1">
      <c r="A411" s="4" t="str">
        <f t="shared" si="1"/>
        <v>Liabilities|Portfolio investment, Debt securities, Long-term, Positions, Derived using counterparty information|Italy|Half-yearly, semester</v>
      </c>
      <c r="B411" s="4" t="s">
        <v>72</v>
      </c>
      <c r="C411" s="4" t="s">
        <v>746</v>
      </c>
      <c r="D411" s="4" t="s">
        <v>74</v>
      </c>
      <c r="E411" s="4" t="s">
        <v>75</v>
      </c>
      <c r="F411" s="4" t="s">
        <v>76</v>
      </c>
      <c r="G411" s="4" t="s">
        <v>549</v>
      </c>
      <c r="H411" s="4" t="s">
        <v>78</v>
      </c>
      <c r="I411" s="4" t="s">
        <v>78</v>
      </c>
      <c r="J411" s="4" t="s">
        <v>646</v>
      </c>
      <c r="K411" s="4" t="s">
        <v>80</v>
      </c>
      <c r="L411" s="4" t="s">
        <v>81</v>
      </c>
      <c r="N411" s="5">
        <v>122.236635737847</v>
      </c>
      <c r="V411" s="5">
        <v>60.811804262384</v>
      </c>
      <c r="X411" s="5">
        <v>156.2563</v>
      </c>
      <c r="Z411" s="5">
        <v>80.832</v>
      </c>
      <c r="AB411" s="5">
        <v>220.6602</v>
      </c>
      <c r="AD411" s="5">
        <v>276.3946286694</v>
      </c>
      <c r="AF411" s="5">
        <v>76.321589481</v>
      </c>
      <c r="AH411" s="5">
        <v>42.6756475719</v>
      </c>
      <c r="AJ411" s="5">
        <v>4.0225237539</v>
      </c>
      <c r="AL411" s="5">
        <v>2.7686214318</v>
      </c>
      <c r="AN411" s="5">
        <v>11.2724464314</v>
      </c>
      <c r="AP411" s="5">
        <v>32.3377866927</v>
      </c>
      <c r="AR411" s="5">
        <v>77.4406630512</v>
      </c>
      <c r="AS411" s="5">
        <v>79.983052884</v>
      </c>
      <c r="AT411" s="5">
        <v>61.5699195</v>
      </c>
      <c r="AU411" s="5">
        <v>73.8771695686</v>
      </c>
      <c r="AV411" s="5">
        <v>118.653993</v>
      </c>
      <c r="AW411" s="5">
        <v>278.8124687971</v>
      </c>
      <c r="AX411" s="5">
        <v>453.5467576713</v>
      </c>
      <c r="AY411" s="5">
        <v>189.7734547254</v>
      </c>
      <c r="AZ411" s="5">
        <v>169.6561764604</v>
      </c>
      <c r="BA411" s="5">
        <v>291.9243658644</v>
      </c>
      <c r="BB411" s="5">
        <v>269.8064802238</v>
      </c>
      <c r="BC411" s="5">
        <v>229.9502215128</v>
      </c>
      <c r="BD411" s="5">
        <v>151.300193515</v>
      </c>
      <c r="BE411" s="5">
        <v>168.836167668</v>
      </c>
      <c r="BF411" s="5">
        <v>313.4626176754</v>
      </c>
      <c r="BG411" s="5">
        <v>222.5060203256</v>
      </c>
      <c r="BH411" s="5">
        <v>194.4523560973</v>
      </c>
      <c r="BI411" s="5">
        <v>157.0694244996</v>
      </c>
      <c r="BJ411" s="5">
        <v>753.7245043314</v>
      </c>
      <c r="BK411" s="5">
        <v>625.6604495401</v>
      </c>
      <c r="BL411" s="5">
        <v>729.687106372</v>
      </c>
      <c r="BM411" s="5">
        <v>747.259052307</v>
      </c>
      <c r="BN411" s="5">
        <v>773.953935105</v>
      </c>
      <c r="BO411" s="5">
        <v>700.6974010895</v>
      </c>
      <c r="BP411" s="5">
        <v>683.1899007546</v>
      </c>
      <c r="BQ411" s="5">
        <v>820.043286564</v>
      </c>
      <c r="BR411" s="5">
        <v>727.1400691</v>
      </c>
    </row>
    <row r="412" ht="15.75" customHeight="1">
      <c r="A412" s="4" t="str">
        <f t="shared" si="1"/>
        <v>Liabilities|Portfolio investment, Debt securities, Positions, Derived using counterparty information|Lebanon|Half-yearly, semester</v>
      </c>
      <c r="B412" s="4" t="s">
        <v>72</v>
      </c>
      <c r="C412" s="4" t="s">
        <v>747</v>
      </c>
      <c r="D412" s="4" t="s">
        <v>74</v>
      </c>
      <c r="E412" s="4" t="s">
        <v>75</v>
      </c>
      <c r="F412" s="4" t="s">
        <v>76</v>
      </c>
      <c r="G412" s="4" t="s">
        <v>571</v>
      </c>
      <c r="H412" s="4" t="s">
        <v>78</v>
      </c>
      <c r="I412" s="4" t="s">
        <v>78</v>
      </c>
      <c r="J412" s="4" t="s">
        <v>430</v>
      </c>
      <c r="K412" s="4" t="s">
        <v>80</v>
      </c>
      <c r="L412" s="4" t="s">
        <v>81</v>
      </c>
      <c r="AF412" s="5">
        <v>0.0120285240464345</v>
      </c>
      <c r="AH412" s="5">
        <v>0.0504769485903814</v>
      </c>
      <c r="AP412" s="5">
        <v>1.12278673300166</v>
      </c>
      <c r="AR412" s="5">
        <v>1.05732006633499</v>
      </c>
      <c r="AS412" s="5">
        <v>0.915014925373134</v>
      </c>
      <c r="AT412" s="5">
        <v>0.992671310116086</v>
      </c>
      <c r="AU412" s="5">
        <v>1.01435091210614</v>
      </c>
      <c r="AV412" s="5">
        <v>0.988896849087894</v>
      </c>
      <c r="AW412" s="5">
        <v>1.85470447761194</v>
      </c>
      <c r="AX412" s="5">
        <v>0.837703482587065</v>
      </c>
      <c r="AY412" s="5">
        <v>0.0575117744610282</v>
      </c>
      <c r="AZ412" s="5">
        <v>0.184299170812604</v>
      </c>
      <c r="BA412" s="5">
        <v>0.0576238805970149</v>
      </c>
      <c r="BB412" s="5">
        <v>0.0553864013266998</v>
      </c>
      <c r="BC412" s="5">
        <v>0.0518885572139304</v>
      </c>
      <c r="BD412" s="5">
        <v>0.0505459369817579</v>
      </c>
      <c r="BE412" s="5">
        <v>0.0</v>
      </c>
      <c r="BF412" s="5">
        <v>0.0</v>
      </c>
      <c r="BG412" s="5">
        <v>0.0</v>
      </c>
      <c r="BH412" s="5">
        <v>0.0</v>
      </c>
      <c r="BI412" s="5">
        <v>0.0</v>
      </c>
      <c r="BJ412" s="5">
        <v>0.0</v>
      </c>
      <c r="BK412" s="5">
        <v>0.25</v>
      </c>
      <c r="BL412" s="5">
        <v>0.25</v>
      </c>
      <c r="BM412" s="5">
        <v>0.25</v>
      </c>
      <c r="BN412" s="5">
        <v>0.25</v>
      </c>
      <c r="BO412" s="5">
        <v>0.346458</v>
      </c>
      <c r="BP412" s="5">
        <v>0.347638</v>
      </c>
      <c r="BQ412" s="5">
        <v>0.350207</v>
      </c>
      <c r="BR412" s="5">
        <v>0.25</v>
      </c>
    </row>
    <row r="413" ht="15.75" customHeight="1">
      <c r="A413" s="4" t="str">
        <f t="shared" si="1"/>
        <v>Liabilities|Portfolio investment, Debt securities, Positions, Derived using counterparty information|Thailand|Half-yearly, semester</v>
      </c>
      <c r="B413" s="4" t="s">
        <v>72</v>
      </c>
      <c r="C413" s="4" t="s">
        <v>749</v>
      </c>
      <c r="D413" s="4" t="s">
        <v>74</v>
      </c>
      <c r="E413" s="4" t="s">
        <v>75</v>
      </c>
      <c r="F413" s="4" t="s">
        <v>76</v>
      </c>
      <c r="G413" s="4" t="s">
        <v>571</v>
      </c>
      <c r="H413" s="4" t="s">
        <v>78</v>
      </c>
      <c r="I413" s="4" t="s">
        <v>78</v>
      </c>
      <c r="J413" s="4" t="s">
        <v>598</v>
      </c>
      <c r="K413" s="4" t="s">
        <v>80</v>
      </c>
      <c r="L413" s="4" t="s">
        <v>81</v>
      </c>
      <c r="N413" s="5">
        <v>0.0</v>
      </c>
      <c r="V413" s="5">
        <v>0.0</v>
      </c>
      <c r="X413" s="5">
        <v>10.0</v>
      </c>
      <c r="Z413" s="5">
        <v>0.0</v>
      </c>
      <c r="AB413" s="5">
        <v>0.0</v>
      </c>
      <c r="AD413" s="5">
        <v>12.81</v>
      </c>
      <c r="AF413" s="5">
        <v>54.82578851</v>
      </c>
      <c r="AH413" s="5">
        <v>1.15444272</v>
      </c>
      <c r="AJ413" s="5">
        <v>150.78769262</v>
      </c>
      <c r="AL413" s="5">
        <v>15.97569238</v>
      </c>
      <c r="AN413" s="5">
        <v>5.65</v>
      </c>
      <c r="AP413" s="5">
        <v>4.81</v>
      </c>
      <c r="AR413" s="5">
        <v>1.4732</v>
      </c>
      <c r="AS413" s="5">
        <v>2.604246</v>
      </c>
      <c r="AT413" s="5">
        <v>3.126609</v>
      </c>
      <c r="AU413" s="5">
        <v>4.46202068</v>
      </c>
      <c r="AV413" s="5">
        <v>4.03865704</v>
      </c>
      <c r="AW413" s="5">
        <v>0.238943997495</v>
      </c>
      <c r="AX413" s="5">
        <v>0.2243527923</v>
      </c>
      <c r="AY413" s="5">
        <v>0.813659</v>
      </c>
      <c r="AZ413" s="5">
        <v>0.763962</v>
      </c>
      <c r="BA413" s="5">
        <v>0.810056</v>
      </c>
      <c r="BB413" s="5">
        <v>2.484104</v>
      </c>
      <c r="BC413" s="5">
        <v>11.920396</v>
      </c>
      <c r="BD413" s="5">
        <v>11.595414</v>
      </c>
      <c r="BE413" s="5">
        <v>3.242429</v>
      </c>
      <c r="BI413" s="5">
        <v>0.0</v>
      </c>
      <c r="BK413" s="5">
        <v>0.786879</v>
      </c>
      <c r="BL413" s="5">
        <v>0.744156</v>
      </c>
      <c r="BM413" s="5">
        <v>0.866312</v>
      </c>
      <c r="BN413" s="5">
        <v>2.109184</v>
      </c>
      <c r="BO413" s="5">
        <v>9.093403</v>
      </c>
      <c r="BP413" s="5">
        <v>13.421878</v>
      </c>
      <c r="BQ413" s="5">
        <v>15.128642</v>
      </c>
      <c r="BR413" s="5">
        <v>18.223084</v>
      </c>
    </row>
    <row r="414" ht="15.75" customHeight="1">
      <c r="A414" s="4" t="str">
        <f t="shared" si="1"/>
        <v>Liabilities|Portfolio investment, Debt securities, Long-term, Positions, Derived using counterparty information|Mexico|Half-yearly, semester</v>
      </c>
      <c r="B414" s="4" t="s">
        <v>72</v>
      </c>
      <c r="C414" s="4" t="s">
        <v>750</v>
      </c>
      <c r="D414" s="4" t="s">
        <v>74</v>
      </c>
      <c r="E414" s="4" t="s">
        <v>75</v>
      </c>
      <c r="F414" s="4" t="s">
        <v>76</v>
      </c>
      <c r="G414" s="4" t="s">
        <v>549</v>
      </c>
      <c r="H414" s="4" t="s">
        <v>78</v>
      </c>
      <c r="I414" s="4" t="s">
        <v>78</v>
      </c>
      <c r="J414" s="4" t="s">
        <v>79</v>
      </c>
      <c r="K414" s="4" t="s">
        <v>80</v>
      </c>
      <c r="L414" s="4" t="s">
        <v>81</v>
      </c>
      <c r="BI414" s="5">
        <v>0.496105719825984</v>
      </c>
      <c r="BJ414" s="5">
        <v>0.488641670086773</v>
      </c>
      <c r="BK414" s="5">
        <v>0.451079074179849</v>
      </c>
      <c r="BL414" s="5">
        <v>0.221632806409368</v>
      </c>
      <c r="BM414" s="5">
        <v>0.223109813956746</v>
      </c>
      <c r="BN414" s="5">
        <v>0.231818038300136</v>
      </c>
      <c r="BO414" s="5">
        <v>0.234223977684981</v>
      </c>
      <c r="BP414" s="5">
        <v>0.241622603458064</v>
      </c>
      <c r="BQ414" s="5">
        <v>0.244475454092026</v>
      </c>
      <c r="BR414" s="5">
        <v>0.249609991908073</v>
      </c>
    </row>
    <row r="415" ht="15.75" customHeight="1">
      <c r="A415" s="4" t="str">
        <f t="shared" si="1"/>
        <v>Liabilities|Portfolio investment, Debt securities, Positions, Derived using counterparty information|Ireland|Half-yearly, semester</v>
      </c>
      <c r="B415" s="4" t="s">
        <v>72</v>
      </c>
      <c r="C415" s="4" t="s">
        <v>751</v>
      </c>
      <c r="D415" s="4" t="s">
        <v>74</v>
      </c>
      <c r="E415" s="4" t="s">
        <v>75</v>
      </c>
      <c r="F415" s="4" t="s">
        <v>76</v>
      </c>
      <c r="G415" s="4" t="s">
        <v>571</v>
      </c>
      <c r="H415" s="4" t="s">
        <v>78</v>
      </c>
      <c r="I415" s="4" t="s">
        <v>78</v>
      </c>
      <c r="J415" s="4" t="s">
        <v>595</v>
      </c>
      <c r="K415" s="4" t="s">
        <v>80</v>
      </c>
      <c r="L415" s="4" t="s">
        <v>81</v>
      </c>
      <c r="N415" s="5">
        <v>82.5555710448</v>
      </c>
      <c r="V415" s="5">
        <v>136.6015</v>
      </c>
      <c r="X415" s="5">
        <v>673.3286303178</v>
      </c>
      <c r="Z415" s="5">
        <v>782.67151383</v>
      </c>
      <c r="AB415" s="5">
        <v>754.6034</v>
      </c>
      <c r="AD415" s="5">
        <v>829.3291</v>
      </c>
      <c r="AF415" s="5">
        <v>1014.09</v>
      </c>
      <c r="AH415" s="5">
        <v>1672.3056</v>
      </c>
      <c r="AJ415" s="5">
        <v>400.8096</v>
      </c>
      <c r="AL415" s="5">
        <v>582.0024</v>
      </c>
      <c r="AN415" s="5">
        <v>470.3424</v>
      </c>
      <c r="AP415" s="5">
        <v>685.767</v>
      </c>
      <c r="AR415" s="5">
        <v>1588.5576</v>
      </c>
      <c r="AS415" s="5">
        <v>1417.872</v>
      </c>
      <c r="AT415" s="5">
        <v>1859.0268</v>
      </c>
      <c r="AU415" s="5">
        <v>2971.9808</v>
      </c>
      <c r="AV415" s="5">
        <v>2605.4586</v>
      </c>
      <c r="AW415" s="5">
        <v>2435.8453</v>
      </c>
      <c r="AX415" s="5">
        <v>3024.4086</v>
      </c>
      <c r="AZ415" s="5">
        <v>3242.4116</v>
      </c>
      <c r="BA415" s="5">
        <v>2921.472</v>
      </c>
      <c r="BB415" s="5">
        <v>2362.621</v>
      </c>
      <c r="BC415" s="5">
        <v>1914.2436</v>
      </c>
      <c r="BD415" s="5">
        <v>1746.125</v>
      </c>
      <c r="BE415" s="5">
        <v>1620.512</v>
      </c>
      <c r="BF415" s="5">
        <v>1476.1476</v>
      </c>
      <c r="BG415" s="5">
        <v>1145.5554</v>
      </c>
      <c r="BH415" s="5">
        <v>1953.5432</v>
      </c>
      <c r="BI415" s="5">
        <v>1875.2952</v>
      </c>
      <c r="BJ415" s="5">
        <v>2213.1004</v>
      </c>
      <c r="BK415" s="5">
        <v>2231.1276</v>
      </c>
      <c r="BL415" s="5">
        <v>2580.1054</v>
      </c>
      <c r="BM415" s="5">
        <v>3020.748</v>
      </c>
      <c r="BN415" s="5">
        <v>3410.03</v>
      </c>
      <c r="BO415" s="5">
        <v>3230.769</v>
      </c>
      <c r="BP415" s="5">
        <v>5306.7012</v>
      </c>
      <c r="BQ415" s="5">
        <v>5125.156</v>
      </c>
      <c r="BR415" s="5">
        <v>5836.225</v>
      </c>
    </row>
    <row r="416" ht="15.75" customHeight="1">
      <c r="A416" s="4" t="str">
        <f t="shared" si="1"/>
        <v>Liabilities|Portfolio investment, Debt securities, Positions, Derived using counterparty information|Netherlands, The|Half-yearly, semester</v>
      </c>
      <c r="B416" s="4" t="s">
        <v>72</v>
      </c>
      <c r="C416" s="4" t="s">
        <v>752</v>
      </c>
      <c r="D416" s="4" t="s">
        <v>74</v>
      </c>
      <c r="E416" s="4" t="s">
        <v>75</v>
      </c>
      <c r="F416" s="4" t="s">
        <v>76</v>
      </c>
      <c r="G416" s="4" t="s">
        <v>571</v>
      </c>
      <c r="H416" s="4" t="s">
        <v>78</v>
      </c>
      <c r="I416" s="4" t="s">
        <v>78</v>
      </c>
      <c r="J416" s="4" t="s">
        <v>624</v>
      </c>
      <c r="K416" s="4" t="s">
        <v>80</v>
      </c>
      <c r="L416" s="4" t="s">
        <v>81</v>
      </c>
      <c r="N416" s="5">
        <v>58.496926432679</v>
      </c>
      <c r="V416" s="5">
        <v>29.9642</v>
      </c>
      <c r="X416" s="5">
        <v>39.8506</v>
      </c>
      <c r="Z416" s="5">
        <v>157.875</v>
      </c>
      <c r="AB416" s="5">
        <v>149.831</v>
      </c>
      <c r="AD416" s="5">
        <v>100.2745</v>
      </c>
      <c r="AF416" s="5">
        <v>121.164</v>
      </c>
      <c r="AH416" s="5">
        <v>157.5147</v>
      </c>
      <c r="AJ416" s="5">
        <v>1081.3509</v>
      </c>
      <c r="AK416" s="5">
        <v>3235.2726</v>
      </c>
      <c r="AL416" s="5">
        <v>3620.2278</v>
      </c>
      <c r="AM416" s="5">
        <v>2218.5968</v>
      </c>
      <c r="AN416" s="5">
        <v>1060.9428</v>
      </c>
      <c r="AO416" s="5">
        <v>2436.7758</v>
      </c>
      <c r="AP416" s="5">
        <v>2207.3934</v>
      </c>
      <c r="AQ416" s="5">
        <v>2315.301</v>
      </c>
      <c r="AR416" s="5">
        <v>2646.7164</v>
      </c>
      <c r="AS416" s="5">
        <v>1434.876</v>
      </c>
      <c r="AT416" s="5">
        <v>779.1915</v>
      </c>
      <c r="AU416" s="5">
        <v>1854.7564</v>
      </c>
      <c r="AV416" s="5">
        <v>1430.2098</v>
      </c>
      <c r="AW416" s="5">
        <v>1356.1068</v>
      </c>
      <c r="AX416" s="5">
        <v>1409.8665</v>
      </c>
      <c r="AY416" s="5">
        <v>1514.3128</v>
      </c>
      <c r="AZ416" s="5">
        <v>1644.396</v>
      </c>
      <c r="BA416" s="5">
        <v>1854.45</v>
      </c>
      <c r="BB416" s="5">
        <v>1972.8485</v>
      </c>
      <c r="BC416" s="5">
        <v>1865.28</v>
      </c>
      <c r="BD416" s="5">
        <v>1829.71</v>
      </c>
      <c r="BE416" s="5">
        <v>1959.636</v>
      </c>
      <c r="BF416" s="5">
        <v>1662.632</v>
      </c>
      <c r="BG416" s="5">
        <v>1535.2458</v>
      </c>
      <c r="BH416" s="5">
        <v>1407.4837</v>
      </c>
      <c r="BI416" s="5">
        <v>1292.9792</v>
      </c>
      <c r="BJ416" s="5">
        <v>1382.9046</v>
      </c>
      <c r="BK416" s="5">
        <v>1177.8858</v>
      </c>
      <c r="BL416" s="5">
        <v>1132.7292</v>
      </c>
      <c r="BM416" s="5">
        <v>1238.724</v>
      </c>
      <c r="BN416" s="5">
        <v>949.195</v>
      </c>
      <c r="BO416" s="5">
        <v>932.4055</v>
      </c>
      <c r="BP416" s="5">
        <v>1131.3621</v>
      </c>
      <c r="BQ416" s="5">
        <v>1481.408</v>
      </c>
      <c r="BR416" s="5">
        <v>1991.625</v>
      </c>
    </row>
    <row r="417" ht="15.75" customHeight="1">
      <c r="A417" s="4" t="str">
        <f t="shared" si="1"/>
        <v>Liabilities|Portfolio investment, Debt securities, Long-term, Positions, Derived using counterparty information|Czech Republic|Half-yearly, semester</v>
      </c>
      <c r="B417" s="4" t="s">
        <v>72</v>
      </c>
      <c r="C417" s="4" t="s">
        <v>753</v>
      </c>
      <c r="D417" s="4" t="s">
        <v>74</v>
      </c>
      <c r="E417" s="4" t="s">
        <v>75</v>
      </c>
      <c r="F417" s="4" t="s">
        <v>76</v>
      </c>
      <c r="G417" s="4" t="s">
        <v>549</v>
      </c>
      <c r="H417" s="4" t="s">
        <v>78</v>
      </c>
      <c r="I417" s="4" t="s">
        <v>78</v>
      </c>
      <c r="J417" s="4" t="s">
        <v>468</v>
      </c>
      <c r="K417" s="4" t="s">
        <v>80</v>
      </c>
      <c r="L417" s="4" t="s">
        <v>81</v>
      </c>
      <c r="V417" s="5">
        <v>0.0</v>
      </c>
      <c r="AR417" s="5">
        <v>1.60587772238258</v>
      </c>
      <c r="AS417" s="5">
        <v>3.43732674764377</v>
      </c>
      <c r="AT417" s="5">
        <v>4.96632150397105</v>
      </c>
      <c r="AU417" s="5">
        <v>5.28358208955224</v>
      </c>
      <c r="AV417" s="5">
        <v>1.17368835946396</v>
      </c>
      <c r="AW417" s="5">
        <v>0.123218466340822</v>
      </c>
      <c r="AX417" s="5">
        <v>0.120850789558492</v>
      </c>
      <c r="AY417" s="5">
        <v>0.122784758318667</v>
      </c>
      <c r="AZ417" s="5">
        <v>0.156012324973673</v>
      </c>
      <c r="BA417" s="5">
        <v>0.261415127222029</v>
      </c>
      <c r="BB417" s="5">
        <v>0.234841012634447</v>
      </c>
      <c r="BC417" s="5">
        <v>0.044806882337127</v>
      </c>
      <c r="BD417" s="5">
        <v>0.0890234131576605</v>
      </c>
      <c r="BE417" s="5">
        <v>0.134150158744355</v>
      </c>
      <c r="BF417" s="5">
        <v>0.0</v>
      </c>
      <c r="BG417" s="5">
        <v>0.0</v>
      </c>
      <c r="BH417" s="5">
        <v>0.0</v>
      </c>
      <c r="BI417" s="5">
        <v>0.0</v>
      </c>
      <c r="BJ417" s="5">
        <v>1.18445628900734</v>
      </c>
      <c r="BK417" s="5">
        <v>1.00751437806977</v>
      </c>
      <c r="BL417" s="5">
        <v>0.972762645914397</v>
      </c>
      <c r="BM417" s="5">
        <v>1.0077412853282</v>
      </c>
      <c r="BN417" s="5">
        <v>1.16195924204505</v>
      </c>
      <c r="BO417" s="5">
        <v>1.11177627640469</v>
      </c>
      <c r="BP417" s="5">
        <v>1.6916285018773</v>
      </c>
      <c r="BQ417" s="5">
        <v>1.13598712547925</v>
      </c>
      <c r="BR417" s="5">
        <v>7.12485459480419</v>
      </c>
    </row>
    <row r="418" ht="15.75" customHeight="1">
      <c r="A418" s="4" t="str">
        <f t="shared" si="1"/>
        <v>Liabilities|Portfolio investment, Debt securities, Positions, Derived using counterparty information|Cyprus|Half-yearly, semester</v>
      </c>
      <c r="B418" s="4" t="s">
        <v>72</v>
      </c>
      <c r="C418" s="4" t="s">
        <v>754</v>
      </c>
      <c r="D418" s="4" t="s">
        <v>74</v>
      </c>
      <c r="E418" s="4" t="s">
        <v>75</v>
      </c>
      <c r="F418" s="4" t="s">
        <v>76</v>
      </c>
      <c r="G418" s="4" t="s">
        <v>571</v>
      </c>
      <c r="H418" s="4" t="s">
        <v>78</v>
      </c>
      <c r="I418" s="4" t="s">
        <v>78</v>
      </c>
      <c r="J418" s="4" t="s">
        <v>208</v>
      </c>
      <c r="K418" s="4" t="s">
        <v>80</v>
      </c>
      <c r="L418" s="4" t="s">
        <v>81</v>
      </c>
      <c r="V418" s="5">
        <v>4.99575467</v>
      </c>
      <c r="X418" s="5">
        <v>3.3756686493</v>
      </c>
      <c r="Z418" s="5">
        <v>0.447472839</v>
      </c>
      <c r="AB418" s="5">
        <v>1.78376975245093</v>
      </c>
      <c r="AD418" s="5">
        <v>28.4071496921383</v>
      </c>
      <c r="AF418" s="5">
        <v>78.9886597282039</v>
      </c>
      <c r="AH418" s="5">
        <v>48.6396561</v>
      </c>
      <c r="AJ418" s="5">
        <v>36.358221730752</v>
      </c>
      <c r="AL418" s="5">
        <v>18.030328367058</v>
      </c>
      <c r="AN418" s="5">
        <v>0.0</v>
      </c>
      <c r="AP418" s="5">
        <v>0.0</v>
      </c>
      <c r="AR418" s="5">
        <v>0.0</v>
      </c>
      <c r="AS418" s="5">
        <v>0.0</v>
      </c>
      <c r="AT418" s="5">
        <v>0.0</v>
      </c>
      <c r="AU418" s="5">
        <v>0.0</v>
      </c>
      <c r="AV418" s="5">
        <v>0.0</v>
      </c>
      <c r="AW418" s="5">
        <v>0.0</v>
      </c>
      <c r="AX418" s="5">
        <v>0.0</v>
      </c>
      <c r="AY418" s="5">
        <v>0.0</v>
      </c>
      <c r="AZ418" s="5">
        <v>0.0</v>
      </c>
      <c r="BG418" s="5">
        <v>1.723050223906</v>
      </c>
      <c r="BI418" s="5">
        <v>2.305321376504</v>
      </c>
      <c r="BJ418" s="5">
        <v>2.214358276886</v>
      </c>
      <c r="BM418" s="5">
        <v>41.553770880294</v>
      </c>
      <c r="BN418" s="5">
        <v>40.3607182082</v>
      </c>
      <c r="BO418" s="5">
        <v>40.44323301577</v>
      </c>
      <c r="BP418" s="5">
        <v>30.139595262276</v>
      </c>
      <c r="BQ418" s="5">
        <v>23.8035871574</v>
      </c>
      <c r="BR418" s="5">
        <v>24.275350305</v>
      </c>
    </row>
    <row r="419" ht="15.75" customHeight="1">
      <c r="A419" s="4" t="str">
        <f t="shared" si="1"/>
        <v>Liabilities|Portfolio investment, Debt securities, Positions, Derived using counterparty information|Saudi Arabia|Half-yearly, semester</v>
      </c>
      <c r="B419" s="4" t="s">
        <v>72</v>
      </c>
      <c r="C419" s="4" t="s">
        <v>755</v>
      </c>
      <c r="D419" s="4" t="s">
        <v>74</v>
      </c>
      <c r="E419" s="4" t="s">
        <v>75</v>
      </c>
      <c r="F419" s="4" t="s">
        <v>76</v>
      </c>
      <c r="G419" s="4" t="s">
        <v>571</v>
      </c>
      <c r="H419" s="4" t="s">
        <v>78</v>
      </c>
      <c r="I419" s="4" t="s">
        <v>78</v>
      </c>
      <c r="J419" s="4" t="s">
        <v>593</v>
      </c>
      <c r="K419" s="4" t="s">
        <v>80</v>
      </c>
      <c r="L419" s="4" t="s">
        <v>81</v>
      </c>
      <c r="AS419" s="5">
        <v>227.696654368616</v>
      </c>
      <c r="AT419" s="5">
        <v>202.145173629496</v>
      </c>
      <c r="AU419" s="5">
        <v>205.257811600049</v>
      </c>
      <c r="AV419" s="5">
        <v>234.53652318223</v>
      </c>
      <c r="AW419" s="5">
        <v>231.423275657917</v>
      </c>
      <c r="AX419" s="5">
        <v>225.099484142304</v>
      </c>
      <c r="AY419" s="5">
        <v>250.178075810585</v>
      </c>
      <c r="AZ419" s="5">
        <v>216.055303863972</v>
      </c>
      <c r="BA419" s="5">
        <v>115.160970935922</v>
      </c>
      <c r="BB419" s="5">
        <v>121.384918542257</v>
      </c>
      <c r="BC419" s="5">
        <v>143.441136996992</v>
      </c>
      <c r="BD419" s="5">
        <v>151.694927336841</v>
      </c>
      <c r="BE419" s="5">
        <v>8.94208790201747</v>
      </c>
      <c r="BF419" s="5">
        <v>80.745200589544</v>
      </c>
      <c r="BG419" s="5">
        <v>7.11453025296403</v>
      </c>
      <c r="BH419" s="5">
        <v>15.2621018221544</v>
      </c>
      <c r="BI419" s="5">
        <v>14.744286238108</v>
      </c>
      <c r="BJ419" s="5">
        <v>0.0</v>
      </c>
      <c r="BK419" s="5">
        <v>0.0</v>
      </c>
      <c r="BL419" s="5">
        <v>0.0</v>
      </c>
      <c r="BM419" s="5">
        <v>0.0</v>
      </c>
      <c r="BN419" s="5">
        <v>0.0</v>
      </c>
      <c r="BO419" s="5">
        <v>0.0</v>
      </c>
      <c r="BP419" s="5">
        <v>5.29978677683955</v>
      </c>
      <c r="BQ419" s="5">
        <v>0.0</v>
      </c>
      <c r="BR419" s="5">
        <v>0.0</v>
      </c>
    </row>
    <row r="420" ht="15.75" customHeight="1">
      <c r="A420" s="4" t="str">
        <f t="shared" si="1"/>
        <v>Liabilities|Portfolio investment, Debt securities, Positions, Derived using counterparty information|El Salvador|Half-yearly, semester</v>
      </c>
      <c r="B420" s="4" t="s">
        <v>72</v>
      </c>
      <c r="C420" s="4" t="s">
        <v>756</v>
      </c>
      <c r="D420" s="4" t="s">
        <v>74</v>
      </c>
      <c r="E420" s="4" t="s">
        <v>75</v>
      </c>
      <c r="F420" s="4" t="s">
        <v>76</v>
      </c>
      <c r="G420" s="4" t="s">
        <v>571</v>
      </c>
      <c r="H420" s="4" t="s">
        <v>78</v>
      </c>
      <c r="I420" s="4" t="s">
        <v>78</v>
      </c>
      <c r="J420" s="4" t="s">
        <v>229</v>
      </c>
      <c r="K420" s="4" t="s">
        <v>80</v>
      </c>
      <c r="L420" s="4" t="s">
        <v>81</v>
      </c>
      <c r="BD420" s="5">
        <v>0.0</v>
      </c>
      <c r="BE420" s="5">
        <v>0.0</v>
      </c>
      <c r="BF420" s="5">
        <v>0.0</v>
      </c>
      <c r="BG420" s="5">
        <v>0.0</v>
      </c>
      <c r="BH420" s="5">
        <v>0.0</v>
      </c>
      <c r="BI420" s="5">
        <v>0.0</v>
      </c>
      <c r="BJ420" s="5">
        <v>0.0</v>
      </c>
      <c r="BK420" s="5">
        <v>0.0</v>
      </c>
      <c r="BL420" s="5">
        <v>0.0</v>
      </c>
      <c r="BM420" s="5">
        <v>0.0</v>
      </c>
      <c r="BN420" s="5">
        <v>0.0</v>
      </c>
      <c r="BO420" s="5">
        <v>0.0</v>
      </c>
      <c r="BP420" s="5">
        <v>0.0</v>
      </c>
      <c r="BQ420" s="5">
        <v>0.0</v>
      </c>
      <c r="BR420" s="5">
        <v>0.0</v>
      </c>
    </row>
    <row r="421" ht="15.75" customHeight="1">
      <c r="A421" s="4" t="str">
        <f t="shared" si="1"/>
        <v>Liabilities|Portfolio investment, Debt securities, Positions, Derived using counterparty information|Costa Rica|Half-yearly, semester</v>
      </c>
      <c r="B421" s="4" t="s">
        <v>72</v>
      </c>
      <c r="C421" s="4" t="s">
        <v>757</v>
      </c>
      <c r="D421" s="4" t="s">
        <v>74</v>
      </c>
      <c r="E421" s="4" t="s">
        <v>75</v>
      </c>
      <c r="F421" s="4" t="s">
        <v>76</v>
      </c>
      <c r="G421" s="4" t="s">
        <v>571</v>
      </c>
      <c r="H421" s="4" t="s">
        <v>78</v>
      </c>
      <c r="I421" s="4" t="s">
        <v>78</v>
      </c>
      <c r="J421" s="4" t="s">
        <v>314</v>
      </c>
      <c r="K421" s="4" t="s">
        <v>80</v>
      </c>
      <c r="L421" s="4" t="s">
        <v>81</v>
      </c>
      <c r="AB421" s="5">
        <v>0.1024265</v>
      </c>
      <c r="AD421" s="5">
        <v>0.0</v>
      </c>
      <c r="AF421" s="5">
        <v>0.0</v>
      </c>
      <c r="AL421" s="5">
        <v>2.0042799962</v>
      </c>
      <c r="AN421" s="5">
        <v>2.00076519012451</v>
      </c>
      <c r="AS421" s="5">
        <v>0.0</v>
      </c>
      <c r="AX421" s="5">
        <v>3.513195</v>
      </c>
      <c r="AY421" s="5">
        <v>3.52149</v>
      </c>
      <c r="AZ421" s="5">
        <v>3.5170625</v>
      </c>
      <c r="BB421" s="5">
        <v>0.738500277777778</v>
      </c>
      <c r="BC421" s="5">
        <v>0.9977687</v>
      </c>
      <c r="BD421" s="5">
        <v>1.005713225</v>
      </c>
      <c r="BE421" s="5">
        <v>0.986348663888889</v>
      </c>
      <c r="BF421" s="5">
        <v>0.256899583333333</v>
      </c>
      <c r="BG421" s="5">
        <v>0.86541075</v>
      </c>
      <c r="BH421" s="5">
        <v>0.602797416666667</v>
      </c>
      <c r="BI421" s="5">
        <v>0.596826361111111</v>
      </c>
      <c r="BJ421" s="5">
        <v>0.572374166666667</v>
      </c>
      <c r="BK421" s="5">
        <v>0.547626166666667</v>
      </c>
      <c r="BL421" s="5">
        <v>0.547626166666667</v>
      </c>
      <c r="BN421" s="5">
        <v>2.88509551</v>
      </c>
      <c r="BO421" s="5">
        <v>0.0</v>
      </c>
      <c r="BP421" s="5">
        <v>0.0</v>
      </c>
      <c r="BQ421" s="5">
        <v>0.0</v>
      </c>
      <c r="BR421" s="5">
        <v>0.0</v>
      </c>
    </row>
    <row r="422" ht="15.75" customHeight="1">
      <c r="A422" s="4" t="str">
        <f t="shared" si="1"/>
        <v>Liabilities|Portfolio investment, Debt securities, Positions, Derived using counterparty information|Bermuda|Half-yearly, semester</v>
      </c>
      <c r="B422" s="4" t="s">
        <v>72</v>
      </c>
      <c r="C422" s="4" t="s">
        <v>758</v>
      </c>
      <c r="D422" s="4" t="s">
        <v>74</v>
      </c>
      <c r="E422" s="4" t="s">
        <v>75</v>
      </c>
      <c r="F422" s="4" t="s">
        <v>76</v>
      </c>
      <c r="G422" s="4" t="s">
        <v>571</v>
      </c>
      <c r="H422" s="4" t="s">
        <v>78</v>
      </c>
      <c r="I422" s="4" t="s">
        <v>78</v>
      </c>
      <c r="J422" s="4" t="s">
        <v>692</v>
      </c>
      <c r="K422" s="4" t="s">
        <v>80</v>
      </c>
      <c r="L422" s="4" t="s">
        <v>81</v>
      </c>
      <c r="N422" s="5">
        <v>343.021</v>
      </c>
      <c r="V422" s="5">
        <v>56.4300106809766</v>
      </c>
      <c r="X422" s="5">
        <v>402.532425528975</v>
      </c>
      <c r="Z422" s="5">
        <v>208.546247565529</v>
      </c>
      <c r="AB422" s="5">
        <v>809.57911215528</v>
      </c>
      <c r="AD422" s="5">
        <v>42.2127453919532</v>
      </c>
      <c r="AF422" s="5">
        <v>347.045272458503</v>
      </c>
      <c r="AH422" s="5">
        <v>86.7064743727028</v>
      </c>
      <c r="AJ422" s="5">
        <v>58.0</v>
      </c>
      <c r="AL422" s="5">
        <v>271.405878905873</v>
      </c>
      <c r="AN422" s="5">
        <v>725.316298368658</v>
      </c>
      <c r="AP422" s="5">
        <v>1818.92552094804</v>
      </c>
      <c r="AR422" s="5">
        <v>808.582826699953</v>
      </c>
      <c r="AT422" s="5">
        <v>523.843348606771</v>
      </c>
      <c r="AV422" s="5">
        <v>1020.3374286209</v>
      </c>
      <c r="AX422" s="5">
        <v>610.936349485458</v>
      </c>
      <c r="AZ422" s="5">
        <v>910.437252</v>
      </c>
      <c r="BB422" s="5">
        <v>1064.79399658502</v>
      </c>
      <c r="BD422" s="5">
        <v>1025.58254261143</v>
      </c>
      <c r="BF422" s="5">
        <v>911.832673553323</v>
      </c>
      <c r="BH422" s="5">
        <v>886.837346324776</v>
      </c>
      <c r="BJ422" s="5">
        <v>660.621654746449</v>
      </c>
      <c r="BL422" s="5">
        <v>1438.4393612287</v>
      </c>
      <c r="BN422" s="5">
        <v>1306.0290159341</v>
      </c>
      <c r="BP422" s="5">
        <v>766.02523758723</v>
      </c>
      <c r="BR422" s="5">
        <v>1394.3635524816</v>
      </c>
    </row>
    <row r="423" ht="15.75" customHeight="1">
      <c r="A423" s="4" t="str">
        <f t="shared" si="1"/>
        <v>Liabilities|Portfolio investment, Debt securities, Long-term, Positions, Derived using counterparty information|World|Half-yearly, semester</v>
      </c>
      <c r="B423" s="4" t="s">
        <v>72</v>
      </c>
      <c r="C423" s="4" t="s">
        <v>759</v>
      </c>
      <c r="D423" s="4" t="s">
        <v>74</v>
      </c>
      <c r="E423" s="4" t="s">
        <v>75</v>
      </c>
      <c r="F423" s="4" t="s">
        <v>76</v>
      </c>
      <c r="G423" s="4" t="s">
        <v>549</v>
      </c>
      <c r="H423" s="4" t="s">
        <v>78</v>
      </c>
      <c r="I423" s="4" t="s">
        <v>78</v>
      </c>
      <c r="J423" s="4" t="s">
        <v>591</v>
      </c>
      <c r="K423" s="4" t="s">
        <v>80</v>
      </c>
      <c r="L423" s="4" t="s">
        <v>81</v>
      </c>
      <c r="N423" s="5">
        <v>9594.79442146998</v>
      </c>
      <c r="V423" s="5">
        <v>9411.81358551035</v>
      </c>
      <c r="X423" s="5">
        <v>9162.56565061789</v>
      </c>
      <c r="Z423" s="5">
        <v>11496.6571198363</v>
      </c>
      <c r="AB423" s="5">
        <v>18421.6026065483</v>
      </c>
      <c r="AD423" s="5">
        <v>15816.1267685355</v>
      </c>
      <c r="AF423" s="5">
        <v>16877.96739233</v>
      </c>
      <c r="AH423" s="5">
        <v>17853.171755508</v>
      </c>
      <c r="AJ423" s="5">
        <v>16452.5586063095</v>
      </c>
      <c r="AK423" s="5">
        <v>3141.9882</v>
      </c>
      <c r="AL423" s="5">
        <v>22807.7808860798</v>
      </c>
      <c r="AM423" s="5">
        <v>2175.6483</v>
      </c>
      <c r="AN423" s="5">
        <v>28192.8292318537</v>
      </c>
      <c r="AO423" s="5">
        <v>2383.2997</v>
      </c>
      <c r="AP423" s="5">
        <v>34436.573968774</v>
      </c>
      <c r="AQ423" s="5">
        <v>2280.049</v>
      </c>
      <c r="AR423" s="5">
        <v>35787.2754424269</v>
      </c>
      <c r="AS423" s="5">
        <v>33305.5284396169</v>
      </c>
      <c r="AT423" s="5">
        <v>37587.0253922468</v>
      </c>
      <c r="AU423" s="5">
        <v>38081.5594350502</v>
      </c>
      <c r="AV423" s="5">
        <v>40967.3632441519</v>
      </c>
      <c r="AW423" s="5">
        <v>36017.6892716049</v>
      </c>
      <c r="AX423" s="5">
        <v>42745.0400107982</v>
      </c>
      <c r="AY423" s="5">
        <v>37480.7746614892</v>
      </c>
      <c r="AZ423" s="5">
        <v>39998.6616592188</v>
      </c>
      <c r="BA423" s="5">
        <v>42560.95654674</v>
      </c>
      <c r="BB423" s="5">
        <v>40627.2693429028</v>
      </c>
      <c r="BC423" s="5">
        <v>41247.1667083842</v>
      </c>
      <c r="BD423" s="5">
        <v>46673.8485055495</v>
      </c>
      <c r="BE423" s="5">
        <v>40702.056893796</v>
      </c>
      <c r="BF423" s="5">
        <v>55737.7468238128</v>
      </c>
      <c r="BG423" s="5">
        <v>42144.7625453503</v>
      </c>
      <c r="BH423" s="5">
        <v>58338.4699050653</v>
      </c>
      <c r="BI423" s="5">
        <v>45737.3972811963</v>
      </c>
      <c r="BJ423" s="5">
        <v>58796.6635114673</v>
      </c>
      <c r="BK423" s="5">
        <v>46915.4677994629</v>
      </c>
      <c r="BL423" s="5">
        <v>62216.8843735824</v>
      </c>
      <c r="BM423" s="5">
        <v>52333.3475613758</v>
      </c>
      <c r="BN423" s="5">
        <v>69977.7418368477</v>
      </c>
      <c r="BO423" s="5">
        <v>54311.1889900289</v>
      </c>
      <c r="BP423" s="5">
        <v>62542.9266324087</v>
      </c>
      <c r="BQ423" s="5">
        <v>53461.3748077513</v>
      </c>
      <c r="BR423" s="5">
        <v>75791.8324522645</v>
      </c>
    </row>
    <row r="424" ht="15.75" customHeight="1">
      <c r="A424" s="4" t="str">
        <f t="shared" si="1"/>
        <v>Liabilities|Portfolio investment, Debt securities, Positions, Derived using counterparty information|Aruba, Kingdom of the Netherlands|Half-yearly, semester</v>
      </c>
      <c r="B424" s="4" t="s">
        <v>72</v>
      </c>
      <c r="C424" s="4" t="s">
        <v>760</v>
      </c>
      <c r="D424" s="4" t="s">
        <v>74</v>
      </c>
      <c r="E424" s="4" t="s">
        <v>75</v>
      </c>
      <c r="F424" s="4" t="s">
        <v>76</v>
      </c>
      <c r="G424" s="4" t="s">
        <v>571</v>
      </c>
      <c r="H424" s="4" t="s">
        <v>78</v>
      </c>
      <c r="I424" s="4" t="s">
        <v>78</v>
      </c>
      <c r="J424" s="4" t="s">
        <v>374</v>
      </c>
      <c r="K424" s="4" t="s">
        <v>80</v>
      </c>
      <c r="L424" s="4" t="s">
        <v>81</v>
      </c>
      <c r="AL424" s="5">
        <v>0.29</v>
      </c>
      <c r="AN424" s="5">
        <v>0.328</v>
      </c>
      <c r="AR424" s="5">
        <v>2.97</v>
      </c>
      <c r="AS424" s="5">
        <v>3.097</v>
      </c>
      <c r="AT424" s="5">
        <v>3.1</v>
      </c>
      <c r="AU424" s="5">
        <v>2.4</v>
      </c>
      <c r="AV424" s="5">
        <v>4.36</v>
      </c>
      <c r="AW424" s="5">
        <v>4.355</v>
      </c>
      <c r="AX424" s="5">
        <v>2.4</v>
      </c>
      <c r="AY424" s="5">
        <v>2.4</v>
      </c>
      <c r="AZ424" s="5">
        <v>4.2</v>
      </c>
      <c r="BA424" s="5">
        <v>4.2</v>
      </c>
      <c r="BB424" s="5">
        <v>3.91</v>
      </c>
      <c r="BC424" s="5">
        <v>3.06</v>
      </c>
      <c r="BD424" s="5">
        <v>7.69</v>
      </c>
      <c r="BE424" s="5">
        <v>1.27</v>
      </c>
      <c r="BF424" s="5">
        <v>3.77</v>
      </c>
      <c r="BG424" s="5">
        <v>2.13</v>
      </c>
      <c r="BH424" s="5">
        <v>0.25</v>
      </c>
      <c r="BR424" s="5">
        <v>3.68264804469274</v>
      </c>
    </row>
    <row r="425" ht="15.75" customHeight="1">
      <c r="A425" s="4" t="str">
        <f t="shared" si="1"/>
        <v>Liabilities|Portfolio investment, Debt securities, Positions, Derived using counterparty information|Finland|Half-yearly, semester</v>
      </c>
      <c r="B425" s="4" t="s">
        <v>72</v>
      </c>
      <c r="C425" s="4" t="s">
        <v>761</v>
      </c>
      <c r="D425" s="4" t="s">
        <v>74</v>
      </c>
      <c r="E425" s="4" t="s">
        <v>75</v>
      </c>
      <c r="F425" s="4" t="s">
        <v>76</v>
      </c>
      <c r="G425" s="4" t="s">
        <v>571</v>
      </c>
      <c r="H425" s="4" t="s">
        <v>78</v>
      </c>
      <c r="I425" s="4" t="s">
        <v>78</v>
      </c>
      <c r="J425" s="4" t="s">
        <v>83</v>
      </c>
      <c r="K425" s="4" t="s">
        <v>80</v>
      </c>
      <c r="L425" s="4" t="s">
        <v>81</v>
      </c>
      <c r="N425" s="5">
        <v>23.0597524304979</v>
      </c>
      <c r="V425" s="5">
        <v>11.4569</v>
      </c>
      <c r="Z425" s="5">
        <v>19.43757</v>
      </c>
      <c r="AB425" s="5">
        <v>18.946811</v>
      </c>
      <c r="AD425" s="5">
        <v>13.896866</v>
      </c>
      <c r="AF425" s="5">
        <v>36.09897</v>
      </c>
      <c r="AL425" s="5">
        <v>0.0</v>
      </c>
      <c r="AN425" s="5">
        <v>0.0</v>
      </c>
      <c r="AP425" s="5">
        <v>0.0</v>
      </c>
      <c r="AR425" s="5">
        <v>0.0</v>
      </c>
      <c r="AS425" s="5">
        <v>52.0584</v>
      </c>
      <c r="AT425" s="5">
        <v>140.626827</v>
      </c>
      <c r="AU425" s="5">
        <v>155.824122</v>
      </c>
      <c r="AV425" s="5">
        <v>90.948231</v>
      </c>
      <c r="AW425" s="5">
        <v>25.544487</v>
      </c>
      <c r="AX425" s="5">
        <v>77.025525</v>
      </c>
      <c r="AY425" s="5">
        <v>144.326</v>
      </c>
      <c r="AZ425" s="5">
        <v>267.7414</v>
      </c>
      <c r="BA425" s="5">
        <v>235.0872</v>
      </c>
      <c r="BB425" s="5">
        <v>273.4404</v>
      </c>
      <c r="BC425" s="5">
        <v>81.606</v>
      </c>
      <c r="BD425" s="5">
        <v>70.99</v>
      </c>
      <c r="BE425" s="5">
        <v>80.798</v>
      </c>
      <c r="BF425" s="5">
        <v>67.404</v>
      </c>
      <c r="BG425" s="5">
        <v>155.6522</v>
      </c>
      <c r="BH425" s="5">
        <v>198.7902</v>
      </c>
      <c r="BM425" s="5">
        <v>165.1632</v>
      </c>
      <c r="BN425" s="5">
        <v>159.12</v>
      </c>
      <c r="BO425" s="5">
        <v>131.6715</v>
      </c>
      <c r="BP425" s="5">
        <v>149.6016</v>
      </c>
      <c r="BQ425" s="5">
        <v>266.044</v>
      </c>
    </row>
    <row r="426" ht="15.75" customHeight="1">
      <c r="A426" s="4" t="str">
        <f t="shared" si="1"/>
        <v>Liabilities|Portfolio investment, Debt securities, Positions, Derived using counterparty information|China, People's Republic of|Half-yearly, semester</v>
      </c>
      <c r="B426" s="4" t="s">
        <v>72</v>
      </c>
      <c r="C426" s="4" t="s">
        <v>762</v>
      </c>
      <c r="D426" s="4" t="s">
        <v>74</v>
      </c>
      <c r="E426" s="4" t="s">
        <v>75</v>
      </c>
      <c r="F426" s="4" t="s">
        <v>76</v>
      </c>
      <c r="G426" s="4" t="s">
        <v>571</v>
      </c>
      <c r="H426" s="4" t="s">
        <v>78</v>
      </c>
      <c r="I426" s="4" t="s">
        <v>78</v>
      </c>
      <c r="J426" s="4" t="s">
        <v>616</v>
      </c>
      <c r="K426" s="4" t="s">
        <v>80</v>
      </c>
      <c r="L426" s="4" t="s">
        <v>81</v>
      </c>
      <c r="AW426" s="5">
        <v>31.89294484</v>
      </c>
      <c r="AX426" s="5">
        <v>31.86340839</v>
      </c>
      <c r="AY426" s="5">
        <v>36.43212614</v>
      </c>
      <c r="AZ426" s="5">
        <v>98.00974641</v>
      </c>
      <c r="BA426" s="5">
        <v>169.186745</v>
      </c>
      <c r="BB426" s="5">
        <v>274.962847</v>
      </c>
      <c r="BC426" s="5">
        <v>316.249347</v>
      </c>
      <c r="BD426" s="5">
        <v>387.2413808</v>
      </c>
      <c r="BE426" s="5">
        <v>466.9916145</v>
      </c>
      <c r="BF426" s="5">
        <v>462.2727687</v>
      </c>
      <c r="BG426" s="5">
        <v>452.0049721</v>
      </c>
      <c r="BH426" s="5">
        <v>400.6575373</v>
      </c>
      <c r="BI426" s="5">
        <v>328.7908728</v>
      </c>
      <c r="BJ426" s="5">
        <v>311.3103773</v>
      </c>
      <c r="BK426" s="5">
        <v>269.59518517</v>
      </c>
      <c r="BL426" s="5">
        <v>287.07948512</v>
      </c>
      <c r="BM426" s="5">
        <v>295.3829729</v>
      </c>
      <c r="BN426" s="5">
        <v>274.96773526</v>
      </c>
      <c r="BO426" s="5">
        <v>312.12783908</v>
      </c>
      <c r="BP426" s="5">
        <v>469.10458975</v>
      </c>
      <c r="BQ426" s="5">
        <v>879.87640198</v>
      </c>
      <c r="BR426" s="5">
        <v>937.82507922</v>
      </c>
    </row>
    <row r="427" ht="15.75" customHeight="1">
      <c r="A427" s="4" t="str">
        <f t="shared" si="1"/>
        <v>Liabilities|Portfolio investment, Debt securities, Positions, Derived using counterparty information|Mexico|Half-yearly, semester</v>
      </c>
      <c r="B427" s="4" t="s">
        <v>72</v>
      </c>
      <c r="C427" s="4" t="s">
        <v>763</v>
      </c>
      <c r="D427" s="4" t="s">
        <v>74</v>
      </c>
      <c r="E427" s="4" t="s">
        <v>75</v>
      </c>
      <c r="F427" s="4" t="s">
        <v>76</v>
      </c>
      <c r="G427" s="4" t="s">
        <v>571</v>
      </c>
      <c r="H427" s="4" t="s">
        <v>78</v>
      </c>
      <c r="I427" s="4" t="s">
        <v>78</v>
      </c>
      <c r="J427" s="4" t="s">
        <v>79</v>
      </c>
      <c r="K427" s="4" t="s">
        <v>80</v>
      </c>
      <c r="L427" s="4" t="s">
        <v>81</v>
      </c>
      <c r="BI427" s="5">
        <v>0.496105719825984</v>
      </c>
      <c r="BJ427" s="5">
        <v>0.488641670086773</v>
      </c>
      <c r="BK427" s="5">
        <v>0.451079074179849</v>
      </c>
      <c r="BL427" s="5">
        <v>0.221632806409368</v>
      </c>
      <c r="BM427" s="5">
        <v>0.223109813956746</v>
      </c>
      <c r="BN427" s="5">
        <v>0.231818038300136</v>
      </c>
      <c r="BO427" s="5">
        <v>0.234223977684981</v>
      </c>
      <c r="BP427" s="5">
        <v>0.241622603458064</v>
      </c>
      <c r="BQ427" s="5">
        <v>0.244475454092026</v>
      </c>
      <c r="BR427" s="5">
        <v>0.249609991908073</v>
      </c>
    </row>
    <row r="428" ht="15.75" customHeight="1">
      <c r="A428" s="4" t="str">
        <f t="shared" si="1"/>
        <v>Liabilities|Portfolio investment, Debt securities, Positions, Derived using counterparty information|Australia|Half-yearly, semester</v>
      </c>
      <c r="B428" s="4" t="s">
        <v>72</v>
      </c>
      <c r="C428" s="4" t="s">
        <v>764</v>
      </c>
      <c r="D428" s="4" t="s">
        <v>74</v>
      </c>
      <c r="E428" s="4" t="s">
        <v>75</v>
      </c>
      <c r="F428" s="4" t="s">
        <v>76</v>
      </c>
      <c r="G428" s="4" t="s">
        <v>571</v>
      </c>
      <c r="H428" s="4" t="s">
        <v>78</v>
      </c>
      <c r="I428" s="4" t="s">
        <v>78</v>
      </c>
      <c r="J428" s="4" t="s">
        <v>703</v>
      </c>
      <c r="K428" s="4" t="s">
        <v>80</v>
      </c>
      <c r="L428" s="4" t="s">
        <v>81</v>
      </c>
      <c r="N428" s="5">
        <v>407.594186044739</v>
      </c>
      <c r="V428" s="5">
        <v>758.7516</v>
      </c>
      <c r="X428" s="5">
        <v>250.8266</v>
      </c>
      <c r="AB428" s="5">
        <v>1224.588</v>
      </c>
      <c r="AD428" s="5">
        <v>829.814699999998</v>
      </c>
      <c r="AF428" s="5">
        <v>1018.4031</v>
      </c>
      <c r="AH428" s="5">
        <v>761.702400000002</v>
      </c>
      <c r="AJ428" s="5">
        <v>913.110400000002</v>
      </c>
      <c r="AL428" s="5">
        <v>817.972799999998</v>
      </c>
      <c r="AN428" s="5">
        <v>1568.1509</v>
      </c>
      <c r="AP428" s="5">
        <v>2303.3808</v>
      </c>
      <c r="AR428" s="5">
        <v>3172.4845</v>
      </c>
      <c r="AT428" s="5">
        <v>2302.24049999999</v>
      </c>
      <c r="AV428" s="5">
        <v>2552.4624</v>
      </c>
      <c r="AX428" s="5">
        <v>2531.52900000001</v>
      </c>
      <c r="AZ428" s="5">
        <v>2921.17320000001</v>
      </c>
      <c r="BA428" s="5">
        <v>3449.86200000001</v>
      </c>
      <c r="BB428" s="5">
        <v>5269.68000000001</v>
      </c>
      <c r="BD428" s="5">
        <v>4332.20040000001</v>
      </c>
      <c r="BF428" s="5">
        <v>6268.26819999999</v>
      </c>
      <c r="BH428" s="5">
        <v>7873.75460000002</v>
      </c>
      <c r="BJ428" s="5">
        <v>6301.81205520001</v>
      </c>
      <c r="BL428" s="5">
        <v>6490.66205750001</v>
      </c>
      <c r="BN428" s="5">
        <v>7709.72131630788</v>
      </c>
      <c r="BP428" s="5">
        <v>9042.04570011929</v>
      </c>
      <c r="BR428" s="5">
        <v>11122.5489441751</v>
      </c>
    </row>
    <row r="429" ht="15.75" customHeight="1">
      <c r="A429" s="4" t="str">
        <f t="shared" si="1"/>
        <v>Liabilities|Portfolio investment, Debt securities, Positions, Derived using counterparty information|Honduras|Half-yearly, semester</v>
      </c>
      <c r="B429" s="4" t="s">
        <v>72</v>
      </c>
      <c r="C429" s="4" t="s">
        <v>765</v>
      </c>
      <c r="D429" s="4" t="s">
        <v>74</v>
      </c>
      <c r="E429" s="4" t="s">
        <v>75</v>
      </c>
      <c r="F429" s="4" t="s">
        <v>76</v>
      </c>
      <c r="G429" s="4" t="s">
        <v>571</v>
      </c>
      <c r="H429" s="4" t="s">
        <v>78</v>
      </c>
      <c r="I429" s="4" t="s">
        <v>78</v>
      </c>
      <c r="J429" s="4" t="s">
        <v>258</v>
      </c>
      <c r="K429" s="4" t="s">
        <v>80</v>
      </c>
      <c r="L429" s="4" t="s">
        <v>81</v>
      </c>
      <c r="AZ429" s="5">
        <v>0.0</v>
      </c>
      <c r="BA429" s="5">
        <v>0.0</v>
      </c>
      <c r="BB429" s="5">
        <v>0.0</v>
      </c>
      <c r="BE429" s="5">
        <v>0.0</v>
      </c>
      <c r="BF429" s="5">
        <v>0.0</v>
      </c>
      <c r="BG429" s="5">
        <v>0.0</v>
      </c>
      <c r="BH429" s="5">
        <v>0.0</v>
      </c>
      <c r="BI429" s="5">
        <v>0.0</v>
      </c>
      <c r="BJ429" s="5">
        <v>0.0</v>
      </c>
      <c r="BK429" s="5">
        <v>0.0</v>
      </c>
      <c r="BL429" s="5">
        <v>0.0</v>
      </c>
      <c r="BM429" s="5">
        <v>0.0</v>
      </c>
      <c r="BN429" s="5">
        <v>0.0</v>
      </c>
      <c r="BO429" s="5">
        <v>0.0</v>
      </c>
      <c r="BP429" s="5">
        <v>0.0</v>
      </c>
      <c r="BQ429" s="5">
        <v>0.0</v>
      </c>
      <c r="BR429" s="5">
        <v>0.0</v>
      </c>
    </row>
    <row r="430" ht="15.75" customHeight="1">
      <c r="A430" s="4" t="str">
        <f t="shared" si="1"/>
        <v>Liabilities|Portfolio investment, Debt securities, Positions, Derived using counterparty information|Hong Kong Special Administrative Region, People's Republic of China|Half-yearly, semester</v>
      </c>
      <c r="B430" s="4" t="s">
        <v>72</v>
      </c>
      <c r="C430" s="4" t="s">
        <v>766</v>
      </c>
      <c r="D430" s="4" t="s">
        <v>74</v>
      </c>
      <c r="E430" s="4" t="s">
        <v>75</v>
      </c>
      <c r="F430" s="4" t="s">
        <v>76</v>
      </c>
      <c r="G430" s="4" t="s">
        <v>571</v>
      </c>
      <c r="H430" s="4" t="s">
        <v>78</v>
      </c>
      <c r="I430" s="4" t="s">
        <v>78</v>
      </c>
      <c r="J430" s="4" t="s">
        <v>626</v>
      </c>
      <c r="K430" s="4" t="s">
        <v>80</v>
      </c>
      <c r="L430" s="4" t="s">
        <v>81</v>
      </c>
      <c r="X430" s="5">
        <v>549.0</v>
      </c>
      <c r="Z430" s="5">
        <v>750.0</v>
      </c>
      <c r="AB430" s="5">
        <v>549.945327072747</v>
      </c>
      <c r="AD430" s="5">
        <v>514.54369558207</v>
      </c>
      <c r="AF430" s="5">
        <v>552.061225802302</v>
      </c>
      <c r="AH430" s="5">
        <v>460.167916426328</v>
      </c>
      <c r="AJ430" s="5">
        <v>755.822205019031</v>
      </c>
      <c r="AL430" s="5">
        <v>945.006769389466</v>
      </c>
      <c r="AN430" s="5">
        <v>1243.29538877098</v>
      </c>
      <c r="AP430" s="5">
        <v>595.196703367459</v>
      </c>
      <c r="AR430" s="5">
        <v>765.111928262693</v>
      </c>
      <c r="AS430" s="5">
        <v>475.21433636305</v>
      </c>
      <c r="AT430" s="5">
        <v>348.616753724125</v>
      </c>
      <c r="AU430" s="5">
        <v>449.906457647894</v>
      </c>
      <c r="AV430" s="5">
        <v>428.341177229063</v>
      </c>
      <c r="AW430" s="5">
        <v>484.293362574986</v>
      </c>
      <c r="AX430" s="5">
        <v>444.745500290304</v>
      </c>
      <c r="AY430" s="5">
        <v>226.074627827544</v>
      </c>
      <c r="AZ430" s="5">
        <v>1209.95615166366</v>
      </c>
      <c r="BA430" s="5">
        <v>1192.64762392725</v>
      </c>
      <c r="BB430" s="5">
        <v>1300.48630662913</v>
      </c>
      <c r="BC430" s="5">
        <v>1859.16390517461</v>
      </c>
      <c r="BD430" s="5">
        <v>1884.60556548379</v>
      </c>
      <c r="BE430" s="5">
        <v>2038.53046594982</v>
      </c>
      <c r="BF430" s="5">
        <v>2030.94901759343</v>
      </c>
      <c r="BG430" s="5">
        <v>1821.19589756821</v>
      </c>
      <c r="BH430" s="5">
        <v>2261.4471817361</v>
      </c>
      <c r="BI430" s="5">
        <v>1920.04634994206</v>
      </c>
      <c r="BJ430" s="5">
        <v>1852.78276481149</v>
      </c>
    </row>
    <row r="431" ht="15.75" customHeight="1">
      <c r="A431" s="4" t="str">
        <f t="shared" si="1"/>
        <v>Liabilities|Portfolio investment, Debt securities, Positions, Derived using counterparty information|Slovak Republic|Half-yearly, semester</v>
      </c>
      <c r="B431" s="4" t="s">
        <v>72</v>
      </c>
      <c r="C431" s="4" t="s">
        <v>767</v>
      </c>
      <c r="D431" s="4" t="s">
        <v>74</v>
      </c>
      <c r="E431" s="4" t="s">
        <v>75</v>
      </c>
      <c r="F431" s="4" t="s">
        <v>76</v>
      </c>
      <c r="G431" s="4" t="s">
        <v>571</v>
      </c>
      <c r="H431" s="4" t="s">
        <v>78</v>
      </c>
      <c r="I431" s="4" t="s">
        <v>78</v>
      </c>
      <c r="J431" s="4" t="s">
        <v>199</v>
      </c>
      <c r="K431" s="4" t="s">
        <v>80</v>
      </c>
      <c r="L431" s="4" t="s">
        <v>81</v>
      </c>
      <c r="AP431" s="5">
        <v>68.05914</v>
      </c>
      <c r="AR431" s="5">
        <v>73.62252</v>
      </c>
      <c r="AS431" s="5">
        <v>133.2852</v>
      </c>
      <c r="AT431" s="5">
        <v>103.57041</v>
      </c>
      <c r="AU431" s="5">
        <v>188.156464300789</v>
      </c>
      <c r="AV431" s="5">
        <v>252.65421</v>
      </c>
      <c r="AW431" s="5">
        <v>115.47048</v>
      </c>
      <c r="AX431" s="5">
        <v>266.360750359049</v>
      </c>
      <c r="AY431" s="5">
        <v>46.40636</v>
      </c>
      <c r="AZ431" s="5">
        <v>46.06417</v>
      </c>
      <c r="BA431" s="5">
        <v>2.2824</v>
      </c>
      <c r="BB431" s="5">
        <v>2.3986</v>
      </c>
      <c r="BC431" s="5">
        <v>5.829</v>
      </c>
      <c r="BD431" s="5">
        <v>22.9</v>
      </c>
      <c r="BE431" s="5">
        <v>18.6632</v>
      </c>
      <c r="BF431" s="5">
        <v>7.97614</v>
      </c>
      <c r="BG431" s="5">
        <v>20.1564</v>
      </c>
      <c r="BH431" s="5">
        <v>22.0878</v>
      </c>
      <c r="BI431" s="5">
        <v>21.3912</v>
      </c>
      <c r="BJ431" s="5">
        <v>20.3868</v>
      </c>
      <c r="BK431" s="5">
        <v>51.935</v>
      </c>
      <c r="BL431" s="5">
        <v>185.5884</v>
      </c>
      <c r="BM431" s="5">
        <v>159.94752</v>
      </c>
      <c r="BN431" s="5">
        <v>169.88080685875</v>
      </c>
      <c r="BO431" s="5">
        <v>163.7865</v>
      </c>
      <c r="BP431" s="5">
        <v>87.2676</v>
      </c>
      <c r="BQ431" s="5">
        <v>138.6476</v>
      </c>
      <c r="BR431" s="5">
        <v>127.37</v>
      </c>
    </row>
    <row r="432" ht="15.75" customHeight="1">
      <c r="A432" s="4" t="str">
        <f t="shared" si="1"/>
        <v>Liabilities|Portfolio investment, Debt securities, Positions, Derived using counterparty information|Japan|Half-yearly, semester</v>
      </c>
      <c r="B432" s="4" t="s">
        <v>72</v>
      </c>
      <c r="C432" s="4" t="s">
        <v>768</v>
      </c>
      <c r="D432" s="4" t="s">
        <v>74</v>
      </c>
      <c r="E432" s="4" t="s">
        <v>75</v>
      </c>
      <c r="F432" s="4" t="s">
        <v>76</v>
      </c>
      <c r="G432" s="4" t="s">
        <v>571</v>
      </c>
      <c r="H432" s="4" t="s">
        <v>78</v>
      </c>
      <c r="I432" s="4" t="s">
        <v>78</v>
      </c>
      <c r="J432" s="4" t="s">
        <v>654</v>
      </c>
      <c r="K432" s="4" t="s">
        <v>80</v>
      </c>
      <c r="L432" s="4" t="s">
        <v>81</v>
      </c>
      <c r="N432" s="5">
        <v>2477.87610619469</v>
      </c>
      <c r="V432" s="5">
        <v>2288.08378603945</v>
      </c>
      <c r="X432" s="5">
        <v>1429.04429524604</v>
      </c>
      <c r="Z432" s="5">
        <v>1970.08971055089</v>
      </c>
      <c r="AB432" s="5">
        <v>2528.7133691894</v>
      </c>
      <c r="AD432" s="5">
        <v>3744.59233428838</v>
      </c>
      <c r="AF432" s="5">
        <v>4514.47616094157</v>
      </c>
      <c r="AH432" s="5">
        <v>4925.16283291994</v>
      </c>
      <c r="AJ432" s="5">
        <v>3845.73002754821</v>
      </c>
      <c r="AL432" s="5">
        <v>4062.56789050619</v>
      </c>
      <c r="AN432" s="5">
        <v>4858.14639327195</v>
      </c>
      <c r="AP432" s="5">
        <v>5746.74404935667</v>
      </c>
      <c r="AR432" s="5">
        <v>6773.33559302138</v>
      </c>
      <c r="AS432" s="5">
        <v>7010.47971945441</v>
      </c>
      <c r="AT432" s="5">
        <v>6350.19126433048</v>
      </c>
      <c r="AU432" s="5">
        <v>7149.03545120303</v>
      </c>
      <c r="AV432" s="5">
        <v>7384.05434648541</v>
      </c>
      <c r="AW432" s="5">
        <v>7510.9653216223</v>
      </c>
      <c r="AX432" s="5">
        <v>7626.02098846473</v>
      </c>
      <c r="AY432" s="5">
        <v>9008.14940398134</v>
      </c>
      <c r="AZ432" s="5">
        <v>8469.37305361301</v>
      </c>
      <c r="BA432" s="5">
        <v>8940.06502038646</v>
      </c>
      <c r="BB432" s="5">
        <v>7565.15271386183</v>
      </c>
      <c r="BC432" s="5">
        <v>7567.86065669183</v>
      </c>
      <c r="BD432" s="5">
        <v>8443.76897807453</v>
      </c>
      <c r="BE432" s="5">
        <v>8631.51648345479</v>
      </c>
      <c r="BF432" s="5">
        <v>8116.37930196114</v>
      </c>
      <c r="BG432" s="5">
        <v>8562.10176282956</v>
      </c>
      <c r="BH432" s="5">
        <v>8955.40093022291</v>
      </c>
      <c r="BI432" s="5">
        <v>7988.84335075113</v>
      </c>
      <c r="BJ432" s="5">
        <v>9361.52974933894</v>
      </c>
      <c r="BK432" s="5">
        <v>8188.19872108615</v>
      </c>
      <c r="BL432" s="5">
        <v>8712.09595422541</v>
      </c>
      <c r="BM432" s="5">
        <v>8464.3358420693</v>
      </c>
      <c r="BN432" s="5">
        <v>9377.5598180537</v>
      </c>
      <c r="BO432" s="5">
        <v>8768.94998315626</v>
      </c>
      <c r="BP432" s="5">
        <v>8501.17549954676</v>
      </c>
      <c r="BQ432" s="5">
        <v>9192.96068711483</v>
      </c>
      <c r="BR432" s="5">
        <v>9617.93238382598</v>
      </c>
    </row>
    <row r="433" ht="15.75" customHeight="1">
      <c r="A433" s="4" t="str">
        <f t="shared" si="1"/>
        <v>Liabilities|Portfolio investment, Debt securities, Positions, Derived using counterparty information|Portugal|Half-yearly, semester</v>
      </c>
      <c r="B433" s="4" t="s">
        <v>72</v>
      </c>
      <c r="C433" s="4" t="s">
        <v>769</v>
      </c>
      <c r="D433" s="4" t="s">
        <v>74</v>
      </c>
      <c r="E433" s="4" t="s">
        <v>75</v>
      </c>
      <c r="F433" s="4" t="s">
        <v>76</v>
      </c>
      <c r="G433" s="4" t="s">
        <v>571</v>
      </c>
      <c r="H433" s="4" t="s">
        <v>78</v>
      </c>
      <c r="I433" s="4" t="s">
        <v>78</v>
      </c>
      <c r="J433" s="4" t="s">
        <v>256</v>
      </c>
      <c r="K433" s="4" t="s">
        <v>80</v>
      </c>
      <c r="L433" s="4" t="s">
        <v>81</v>
      </c>
      <c r="N433" s="5">
        <v>23.1762957636669</v>
      </c>
      <c r="X433" s="5">
        <v>0.0</v>
      </c>
      <c r="Z433" s="5">
        <v>0.0</v>
      </c>
      <c r="AB433" s="5">
        <v>0.0</v>
      </c>
      <c r="AD433" s="5">
        <v>28.265612</v>
      </c>
      <c r="AF433" s="5">
        <v>30.73878</v>
      </c>
      <c r="AH433" s="5">
        <v>13.808298</v>
      </c>
      <c r="AJ433" s="5">
        <v>13.318569</v>
      </c>
      <c r="AL433" s="5">
        <v>0.0</v>
      </c>
      <c r="AN433" s="5">
        <v>9.126246</v>
      </c>
      <c r="AP433" s="5">
        <v>15.099813</v>
      </c>
      <c r="AR433" s="5">
        <v>0.0</v>
      </c>
      <c r="AS433" s="5">
        <v>0.0</v>
      </c>
      <c r="AT433" s="5">
        <v>41.276463</v>
      </c>
      <c r="AU433" s="5">
        <v>38.023872</v>
      </c>
      <c r="AV433" s="5">
        <v>20.044791</v>
      </c>
      <c r="AW433" s="5">
        <v>6.187517</v>
      </c>
      <c r="AX433" s="5">
        <v>0.0</v>
      </c>
      <c r="AY433" s="5">
        <v>15.309658</v>
      </c>
      <c r="AZ433" s="5">
        <v>34.184463</v>
      </c>
      <c r="BA433" s="5">
        <v>44.027496</v>
      </c>
      <c r="BB433" s="5">
        <v>38.173719</v>
      </c>
      <c r="BC433" s="5">
        <v>53.125506</v>
      </c>
      <c r="BD433" s="5">
        <v>59.57435</v>
      </c>
      <c r="BE433" s="5">
        <v>49.45748</v>
      </c>
      <c r="BF433" s="5">
        <v>37.027264</v>
      </c>
      <c r="BG433" s="5">
        <v>27.244734</v>
      </c>
      <c r="BH433" s="5">
        <v>28.186487</v>
      </c>
      <c r="BI433" s="5">
        <v>16.542528</v>
      </c>
      <c r="BJ433" s="5">
        <v>5.821564</v>
      </c>
      <c r="BK433" s="5">
        <v>8.51734</v>
      </c>
      <c r="BL433" s="5">
        <v>23.902506</v>
      </c>
      <c r="BM433" s="5">
        <v>28.838364</v>
      </c>
      <c r="BN433" s="5">
        <v>23.30445</v>
      </c>
      <c r="BO433" s="5">
        <v>13.349135</v>
      </c>
      <c r="BP433" s="5">
        <v>39.332754</v>
      </c>
      <c r="BR433" s="5">
        <v>69.83025</v>
      </c>
    </row>
    <row r="434" ht="15.75" customHeight="1">
      <c r="A434" s="4" t="str">
        <f t="shared" si="1"/>
        <v>Liabilities|Portfolio investment, Debt securities, Positions, Derived using counterparty information|Belarus, Republic of|Half-yearly, semester</v>
      </c>
      <c r="B434" s="4" t="s">
        <v>72</v>
      </c>
      <c r="C434" s="4" t="s">
        <v>770</v>
      </c>
      <c r="D434" s="4" t="s">
        <v>74</v>
      </c>
      <c r="E434" s="4" t="s">
        <v>75</v>
      </c>
      <c r="F434" s="4" t="s">
        <v>76</v>
      </c>
      <c r="G434" s="4" t="s">
        <v>571</v>
      </c>
      <c r="H434" s="4" t="s">
        <v>78</v>
      </c>
      <c r="I434" s="4" t="s">
        <v>78</v>
      </c>
      <c r="J434" s="4" t="s">
        <v>470</v>
      </c>
      <c r="K434" s="4" t="s">
        <v>80</v>
      </c>
      <c r="L434" s="4" t="s">
        <v>81</v>
      </c>
      <c r="AV434" s="5">
        <v>0.0</v>
      </c>
      <c r="AW434" s="5">
        <v>0.0</v>
      </c>
      <c r="AX434" s="5">
        <v>0.0</v>
      </c>
      <c r="AY434" s="5">
        <v>0.0</v>
      </c>
      <c r="AZ434" s="5">
        <v>0.0</v>
      </c>
      <c r="BA434" s="5">
        <v>0.0</v>
      </c>
      <c r="BB434" s="5">
        <v>0.0</v>
      </c>
      <c r="BC434" s="5">
        <v>0.0</v>
      </c>
      <c r="BD434" s="5">
        <v>0.0</v>
      </c>
      <c r="BE434" s="5">
        <v>0.0</v>
      </c>
      <c r="BF434" s="5">
        <v>0.0</v>
      </c>
      <c r="BG434" s="5">
        <v>0.0</v>
      </c>
      <c r="BH434" s="5">
        <v>0.0</v>
      </c>
      <c r="BI434" s="5">
        <v>0.0</v>
      </c>
      <c r="BJ434" s="5">
        <v>0.0</v>
      </c>
      <c r="BK434" s="5">
        <v>0.0</v>
      </c>
      <c r="BL434" s="5">
        <v>0.0</v>
      </c>
      <c r="BM434" s="5">
        <v>0.0</v>
      </c>
      <c r="BN434" s="5">
        <v>0.0</v>
      </c>
      <c r="BO434" s="5">
        <v>0.0</v>
      </c>
      <c r="BP434" s="5">
        <v>0.0</v>
      </c>
      <c r="BQ434" s="5">
        <v>0.0</v>
      </c>
      <c r="BR434" s="5">
        <v>0.0</v>
      </c>
    </row>
    <row r="435" ht="15.75" customHeight="1">
      <c r="A435" s="4" t="str">
        <f t="shared" si="1"/>
        <v>Liabilities|Portfolio investment, Debt securities, Positions, Derived using counterparty information|Malaysia|Half-yearly, semester</v>
      </c>
      <c r="B435" s="4" t="s">
        <v>72</v>
      </c>
      <c r="C435" s="4" t="s">
        <v>771</v>
      </c>
      <c r="D435" s="4" t="s">
        <v>74</v>
      </c>
      <c r="E435" s="4" t="s">
        <v>75</v>
      </c>
      <c r="F435" s="4" t="s">
        <v>76</v>
      </c>
      <c r="G435" s="4" t="s">
        <v>571</v>
      </c>
      <c r="H435" s="4" t="s">
        <v>78</v>
      </c>
      <c r="I435" s="4" t="s">
        <v>78</v>
      </c>
      <c r="J435" s="4" t="s">
        <v>666</v>
      </c>
      <c r="K435" s="4" t="s">
        <v>80</v>
      </c>
      <c r="L435" s="4" t="s">
        <v>81</v>
      </c>
      <c r="N435" s="5">
        <v>2.98054934607775</v>
      </c>
      <c r="V435" s="5">
        <v>0.0310526315789474</v>
      </c>
      <c r="X435" s="5">
        <v>0.0389473684210526</v>
      </c>
      <c r="AB435" s="5">
        <v>9.46842105263158</v>
      </c>
      <c r="AD435" s="5">
        <v>0.0</v>
      </c>
      <c r="AJ435" s="5">
        <v>1.86200923787529</v>
      </c>
      <c r="AL435" s="5">
        <v>5.84026865235801</v>
      </c>
      <c r="AN435" s="5">
        <v>7.66200769580023</v>
      </c>
      <c r="AP435" s="5">
        <v>5.71379622599937</v>
      </c>
      <c r="AR435" s="5">
        <v>0.741538134554075</v>
      </c>
      <c r="AS435" s="5">
        <v>0.310034922133082</v>
      </c>
      <c r="AT435" s="5">
        <v>0.0852109766874905</v>
      </c>
      <c r="AU435" s="5">
        <v>30.5989169848933</v>
      </c>
      <c r="AV435" s="5">
        <v>24.6204621459228</v>
      </c>
      <c r="AW435" s="5">
        <v>14.597798737287</v>
      </c>
      <c r="AX435" s="5">
        <v>2.30683093662628</v>
      </c>
      <c r="AY435" s="5">
        <v>4.74378141205718</v>
      </c>
      <c r="AZ435" s="5">
        <v>3.09643767944717</v>
      </c>
      <c r="BA435" s="5">
        <v>6.73257773870517</v>
      </c>
      <c r="BB435" s="5">
        <v>21.7583198153619</v>
      </c>
      <c r="BC435" s="5">
        <v>15.8400023399777</v>
      </c>
      <c r="BD435" s="5">
        <v>15.4127788329105</v>
      </c>
      <c r="BE435" s="5">
        <v>75.9002157146306</v>
      </c>
      <c r="BF435" s="5">
        <v>61.2690288992059</v>
      </c>
      <c r="BG435" s="5">
        <v>57.697176067757</v>
      </c>
      <c r="BH435" s="5">
        <v>60.9326227161724</v>
      </c>
      <c r="BI435" s="5">
        <v>55.1842529168923</v>
      </c>
      <c r="BJ435" s="5">
        <v>76.1719617528736</v>
      </c>
      <c r="BK435" s="5">
        <v>107.361609635683</v>
      </c>
      <c r="BL435" s="5">
        <v>160.12066846363</v>
      </c>
      <c r="BM435" s="5">
        <v>175.394307777303</v>
      </c>
      <c r="BN435" s="5">
        <v>219.536196175542</v>
      </c>
      <c r="BO435" s="5">
        <v>232.254883856341</v>
      </c>
      <c r="BP435" s="5">
        <v>286.193784892617</v>
      </c>
      <c r="BQ435" s="5">
        <v>567.525497768556</v>
      </c>
      <c r="BR435" s="5">
        <v>1173.15952095144</v>
      </c>
    </row>
    <row r="436" ht="15.75" customHeight="1">
      <c r="A436" s="4" t="str">
        <f t="shared" si="1"/>
        <v>Liabilities|Portfolio investment, Debt securities, Positions, Derived using counterparty information|Macao Special Administrative Region, People's Republic of China|Half-yearly, semester</v>
      </c>
      <c r="B436" s="4" t="s">
        <v>72</v>
      </c>
      <c r="C436" s="4" t="s">
        <v>772</v>
      </c>
      <c r="D436" s="4" t="s">
        <v>74</v>
      </c>
      <c r="E436" s="4" t="s">
        <v>75</v>
      </c>
      <c r="F436" s="4" t="s">
        <v>76</v>
      </c>
      <c r="G436" s="4" t="s">
        <v>571</v>
      </c>
      <c r="H436" s="4" t="s">
        <v>78</v>
      </c>
      <c r="I436" s="4" t="s">
        <v>78</v>
      </c>
      <c r="J436" s="4" t="s">
        <v>139</v>
      </c>
      <c r="K436" s="4" t="s">
        <v>80</v>
      </c>
      <c r="L436" s="4" t="s">
        <v>81</v>
      </c>
      <c r="V436" s="5">
        <v>12.5093339808001</v>
      </c>
      <c r="X436" s="5">
        <v>0.0180470072701922</v>
      </c>
      <c r="Z436" s="5">
        <v>12.2305026947942</v>
      </c>
      <c r="AB436" s="5">
        <v>16.570830014358</v>
      </c>
      <c r="AD436" s="5">
        <v>1.84503749796547</v>
      </c>
      <c r="AF436" s="5">
        <v>1.76316304225634</v>
      </c>
      <c r="AH436" s="5">
        <v>1.73794202213067</v>
      </c>
      <c r="AJ436" s="5">
        <v>1.69569753457607</v>
      </c>
      <c r="AL436" s="5">
        <v>1.95322203860888</v>
      </c>
      <c r="AN436" s="5">
        <v>41.9966647945308</v>
      </c>
      <c r="AP436" s="5">
        <v>90.2240366334778</v>
      </c>
      <c r="AR436" s="5">
        <v>64.3512370173848</v>
      </c>
      <c r="AS436" s="5">
        <v>63.3019364301739</v>
      </c>
      <c r="AT436" s="5">
        <v>69.3029056308509</v>
      </c>
      <c r="AU436" s="5">
        <v>27.7571068080153</v>
      </c>
      <c r="AV436" s="5">
        <v>30.044992488329</v>
      </c>
      <c r="AW436" s="5">
        <v>3.27064549291413</v>
      </c>
      <c r="AX436" s="5">
        <v>8.50781539457499</v>
      </c>
      <c r="AY436" s="5">
        <v>121.386914780933</v>
      </c>
      <c r="AZ436" s="5">
        <v>240.291833469844</v>
      </c>
      <c r="BA436" s="5">
        <v>247.473366560099</v>
      </c>
      <c r="BB436" s="5">
        <v>236.549199807478</v>
      </c>
      <c r="BC436" s="5">
        <v>248.587805975581</v>
      </c>
      <c r="BD436" s="5">
        <v>128.739461999565</v>
      </c>
      <c r="BE436" s="5">
        <v>27.4089669514777</v>
      </c>
      <c r="BF436" s="5">
        <v>55.5440149216543</v>
      </c>
      <c r="BG436" s="5">
        <v>53.0101195948749</v>
      </c>
      <c r="BH436" s="5">
        <v>49.8028337680485</v>
      </c>
      <c r="BI436" s="5">
        <v>41.668472791318</v>
      </c>
      <c r="BJ436" s="5">
        <v>41.8408690651206</v>
      </c>
      <c r="BK436" s="5">
        <v>92.975651466207</v>
      </c>
      <c r="BL436" s="5">
        <v>112.321894301801</v>
      </c>
      <c r="BM436" s="5">
        <v>144.201353822992</v>
      </c>
      <c r="BN436" s="5">
        <v>168.440837243873</v>
      </c>
      <c r="BO436" s="5">
        <v>144.780416486862</v>
      </c>
      <c r="BP436" s="5">
        <v>183.579945092944</v>
      </c>
      <c r="BQ436" s="5">
        <v>391.145290445311</v>
      </c>
      <c r="BR436" s="5">
        <v>435.895145706098</v>
      </c>
    </row>
    <row r="437" ht="15.75" customHeight="1">
      <c r="A437" s="4" t="str">
        <f t="shared" si="1"/>
        <v>Liabilities|Portfolio investment, Debt securities, Positions, Derived using counterparty information|Namibia|Half-yearly, semester</v>
      </c>
      <c r="B437" s="4" t="s">
        <v>72</v>
      </c>
      <c r="C437" s="4" t="s">
        <v>773</v>
      </c>
      <c r="D437" s="4" t="s">
        <v>74</v>
      </c>
      <c r="E437" s="4" t="s">
        <v>75</v>
      </c>
      <c r="F437" s="4" t="s">
        <v>76</v>
      </c>
      <c r="G437" s="4" t="s">
        <v>571</v>
      </c>
      <c r="H437" s="4" t="s">
        <v>78</v>
      </c>
      <c r="I437" s="4" t="s">
        <v>78</v>
      </c>
      <c r="J437" s="4" t="s">
        <v>352</v>
      </c>
      <c r="K437" s="4" t="s">
        <v>80</v>
      </c>
      <c r="L437" s="4" t="s">
        <v>81</v>
      </c>
      <c r="BQ437" s="5">
        <v>0.0</v>
      </c>
      <c r="BR437" s="5">
        <v>0.303334794686165</v>
      </c>
    </row>
    <row r="438" ht="15.75" customHeight="1">
      <c r="A438" s="4" t="str">
        <f t="shared" si="1"/>
        <v>Liabilities|Portfolio investment, Debt securities, Positions, Derived using counterparty information|Cayman Islands|Half-yearly, semester</v>
      </c>
      <c r="B438" s="4" t="s">
        <v>72</v>
      </c>
      <c r="C438" s="4" t="s">
        <v>774</v>
      </c>
      <c r="D438" s="4" t="s">
        <v>74</v>
      </c>
      <c r="E438" s="4" t="s">
        <v>75</v>
      </c>
      <c r="F438" s="4" t="s">
        <v>76</v>
      </c>
      <c r="G438" s="4" t="s">
        <v>571</v>
      </c>
      <c r="H438" s="4" t="s">
        <v>78</v>
      </c>
      <c r="I438" s="4" t="s">
        <v>78</v>
      </c>
      <c r="J438" s="4" t="s">
        <v>602</v>
      </c>
      <c r="K438" s="4" t="s">
        <v>80</v>
      </c>
      <c r="L438" s="4" t="s">
        <v>81</v>
      </c>
      <c r="X438" s="5">
        <v>90.819</v>
      </c>
      <c r="AD438" s="5">
        <v>31.296</v>
      </c>
      <c r="AF438" s="5">
        <v>33.0</v>
      </c>
      <c r="AH438" s="5">
        <v>32.0</v>
      </c>
      <c r="AJ438" s="5">
        <v>34.0</v>
      </c>
      <c r="AL438" s="5">
        <v>52.0</v>
      </c>
      <c r="AN438" s="5">
        <v>26.0</v>
      </c>
      <c r="AP438" s="5">
        <v>2.0</v>
      </c>
      <c r="AR438" s="5">
        <v>22.0</v>
      </c>
      <c r="AS438" s="5">
        <v>15.0</v>
      </c>
      <c r="AT438" s="5">
        <v>16.0</v>
      </c>
      <c r="AU438" s="5">
        <v>17.0</v>
      </c>
      <c r="AV438" s="5">
        <v>15.0</v>
      </c>
      <c r="AW438" s="5">
        <v>17.0</v>
      </c>
      <c r="AX438" s="5">
        <v>510.0</v>
      </c>
      <c r="AY438" s="5">
        <v>565.0</v>
      </c>
      <c r="AZ438" s="5">
        <v>160.0</v>
      </c>
      <c r="BA438" s="5">
        <v>152.0</v>
      </c>
      <c r="BB438" s="5">
        <v>841.0</v>
      </c>
      <c r="BC438" s="5">
        <v>841.0</v>
      </c>
      <c r="BD438" s="5">
        <v>839.0</v>
      </c>
      <c r="BE438" s="5">
        <v>835.129271</v>
      </c>
      <c r="BF438" s="5">
        <v>854.554449</v>
      </c>
      <c r="BG438" s="5">
        <v>861.554449</v>
      </c>
      <c r="BH438" s="5">
        <v>601.339063</v>
      </c>
      <c r="BI438" s="5">
        <v>603.57947</v>
      </c>
      <c r="BJ438" s="5">
        <v>679.318688</v>
      </c>
      <c r="BK438" s="5">
        <v>684.4034408</v>
      </c>
      <c r="BL438" s="5">
        <v>846.93789731</v>
      </c>
      <c r="BM438" s="5">
        <v>846.93789731</v>
      </c>
      <c r="BN438" s="5">
        <v>1696.797362</v>
      </c>
      <c r="BO438" s="5">
        <v>1696.797362</v>
      </c>
      <c r="BP438" s="5">
        <v>1437.29524636</v>
      </c>
      <c r="BQ438" s="5">
        <v>1437.29524636</v>
      </c>
      <c r="BR438" s="5">
        <v>2394.7650152</v>
      </c>
    </row>
    <row r="439" ht="15.75" customHeight="1">
      <c r="A439" s="4" t="str">
        <f t="shared" si="1"/>
        <v>Liabilities|Portfolio investment, Debt securities, Long-term, Positions, Derived using counterparty information|Macao Special Administrative Region, People's Republic of China|Half-yearly, semester</v>
      </c>
      <c r="B439" s="4" t="s">
        <v>72</v>
      </c>
      <c r="C439" s="4" t="s">
        <v>775</v>
      </c>
      <c r="D439" s="4" t="s">
        <v>74</v>
      </c>
      <c r="E439" s="4" t="s">
        <v>75</v>
      </c>
      <c r="F439" s="4" t="s">
        <v>76</v>
      </c>
      <c r="G439" s="4" t="s">
        <v>549</v>
      </c>
      <c r="H439" s="4" t="s">
        <v>78</v>
      </c>
      <c r="I439" s="4" t="s">
        <v>78</v>
      </c>
      <c r="J439" s="4" t="s">
        <v>139</v>
      </c>
      <c r="K439" s="4" t="s">
        <v>80</v>
      </c>
      <c r="L439" s="4" t="s">
        <v>81</v>
      </c>
      <c r="Z439" s="5">
        <v>1.9637354474859</v>
      </c>
      <c r="AB439" s="5">
        <v>1.91582995193208</v>
      </c>
      <c r="AD439" s="5">
        <v>1.84503749796547</v>
      </c>
      <c r="AF439" s="5">
        <v>1.76316304225634</v>
      </c>
      <c r="AH439" s="5">
        <v>1.73794202213067</v>
      </c>
      <c r="AJ439" s="5">
        <v>1.69569753457607</v>
      </c>
      <c r="AL439" s="5">
        <v>1.95322203860888</v>
      </c>
      <c r="AN439" s="5">
        <v>41.9966647945308</v>
      </c>
      <c r="AP439" s="5">
        <v>90.2240366334778</v>
      </c>
      <c r="AR439" s="5">
        <v>64.3512370173848</v>
      </c>
      <c r="AS439" s="5">
        <v>63.3019364301739</v>
      </c>
      <c r="AT439" s="5">
        <v>69.3029056308509</v>
      </c>
      <c r="AU439" s="5">
        <v>27.7571068080153</v>
      </c>
      <c r="AV439" s="5">
        <v>30.044992488329</v>
      </c>
      <c r="AW439" s="5">
        <v>3.27064549291413</v>
      </c>
      <c r="AX439" s="5">
        <v>8.50781539457499</v>
      </c>
      <c r="AY439" s="5">
        <v>121.386914780933</v>
      </c>
      <c r="AZ439" s="5">
        <v>240.291833469844</v>
      </c>
      <c r="BA439" s="5">
        <v>247.473366560099</v>
      </c>
      <c r="BB439" s="5">
        <v>236.549199807478</v>
      </c>
      <c r="BC439" s="5">
        <v>248.587805975581</v>
      </c>
      <c r="BD439" s="5">
        <v>128.739461999565</v>
      </c>
      <c r="BE439" s="5">
        <v>27.4089669514777</v>
      </c>
      <c r="BF439" s="5">
        <v>55.5440149216543</v>
      </c>
      <c r="BG439" s="5">
        <v>53.0101195948749</v>
      </c>
      <c r="BH439" s="5">
        <v>49.8028337680485</v>
      </c>
      <c r="BI439" s="5">
        <v>41.668472791318</v>
      </c>
      <c r="BJ439" s="5">
        <v>41.8408690651206</v>
      </c>
      <c r="BK439" s="5">
        <v>92.975651466207</v>
      </c>
      <c r="BL439" s="5">
        <v>112.321894301801</v>
      </c>
      <c r="BM439" s="5">
        <v>144.201353822992</v>
      </c>
      <c r="BN439" s="5">
        <v>168.440837243873</v>
      </c>
      <c r="BO439" s="5">
        <v>144.780416486862</v>
      </c>
      <c r="BP439" s="5">
        <v>183.579945092944</v>
      </c>
      <c r="BQ439" s="5">
        <v>391.145290445311</v>
      </c>
      <c r="BR439" s="5">
        <v>435.895145706098</v>
      </c>
    </row>
    <row r="440" ht="15.75" customHeight="1">
      <c r="A440" s="4" t="str">
        <f t="shared" si="1"/>
        <v>Liabilities|Portfolio investment, Debt securities, Long-term, Positions, Derived using counterparty information|Aruba, Kingdom of the Netherlands|Half-yearly, semester</v>
      </c>
      <c r="B440" s="4" t="s">
        <v>72</v>
      </c>
      <c r="C440" s="4" t="s">
        <v>776</v>
      </c>
      <c r="D440" s="4" t="s">
        <v>74</v>
      </c>
      <c r="E440" s="4" t="s">
        <v>75</v>
      </c>
      <c r="F440" s="4" t="s">
        <v>76</v>
      </c>
      <c r="G440" s="4" t="s">
        <v>549</v>
      </c>
      <c r="H440" s="4" t="s">
        <v>78</v>
      </c>
      <c r="I440" s="4" t="s">
        <v>78</v>
      </c>
      <c r="J440" s="4" t="s">
        <v>374</v>
      </c>
      <c r="K440" s="4" t="s">
        <v>80</v>
      </c>
      <c r="L440" s="4" t="s">
        <v>81</v>
      </c>
      <c r="AL440" s="5">
        <v>0.274</v>
      </c>
      <c r="AN440" s="5">
        <v>0.298</v>
      </c>
      <c r="AR440" s="5">
        <v>2.97</v>
      </c>
      <c r="AS440" s="5">
        <v>3.097</v>
      </c>
      <c r="AT440" s="5">
        <v>3.1</v>
      </c>
      <c r="AU440" s="5">
        <v>2.4</v>
      </c>
      <c r="AV440" s="5">
        <v>4.36</v>
      </c>
      <c r="AW440" s="5">
        <v>4.355</v>
      </c>
      <c r="AX440" s="5">
        <v>2.4</v>
      </c>
      <c r="AY440" s="5">
        <v>2.4</v>
      </c>
      <c r="AZ440" s="5">
        <v>4.2</v>
      </c>
      <c r="BA440" s="5">
        <v>4.2</v>
      </c>
      <c r="BB440" s="5">
        <v>3.83</v>
      </c>
      <c r="BC440" s="5">
        <v>3.06</v>
      </c>
      <c r="BD440" s="5">
        <v>7.69</v>
      </c>
      <c r="BE440" s="5">
        <v>1.27</v>
      </c>
      <c r="BF440" s="5">
        <v>3.77</v>
      </c>
      <c r="BG440" s="5">
        <v>2.13</v>
      </c>
      <c r="BH440" s="5">
        <v>0.25</v>
      </c>
      <c r="BR440" s="5">
        <v>3.68264804469274</v>
      </c>
    </row>
    <row r="441" ht="15.75" customHeight="1">
      <c r="A441" s="4" t="str">
        <f t="shared" si="1"/>
        <v>Liabilities|Portfolio investment, Debt securities, Positions, Derived using counterparty information|Malta|Half-yearly, semester</v>
      </c>
      <c r="B441" s="4" t="s">
        <v>72</v>
      </c>
      <c r="C441" s="4" t="s">
        <v>777</v>
      </c>
      <c r="D441" s="4" t="s">
        <v>74</v>
      </c>
      <c r="E441" s="4" t="s">
        <v>75</v>
      </c>
      <c r="F441" s="4" t="s">
        <v>76</v>
      </c>
      <c r="G441" s="4" t="s">
        <v>571</v>
      </c>
      <c r="H441" s="4" t="s">
        <v>78</v>
      </c>
      <c r="I441" s="4" t="s">
        <v>78</v>
      </c>
      <c r="J441" s="4" t="s">
        <v>125</v>
      </c>
      <c r="K441" s="4" t="s">
        <v>80</v>
      </c>
      <c r="L441" s="4" t="s">
        <v>81</v>
      </c>
      <c r="V441" s="5">
        <v>1.32726</v>
      </c>
      <c r="X441" s="5">
        <v>0.75222</v>
      </c>
    </row>
    <row r="442" ht="15.75" customHeight="1">
      <c r="A442" s="4" t="str">
        <f t="shared" si="1"/>
        <v>Liabilities|Portfolio investment, Debt securities, Positions, Derived using counterparty information|Greece|Half-yearly, semester</v>
      </c>
      <c r="B442" s="4" t="s">
        <v>72</v>
      </c>
      <c r="C442" s="4" t="s">
        <v>778</v>
      </c>
      <c r="D442" s="4" t="s">
        <v>74</v>
      </c>
      <c r="E442" s="4" t="s">
        <v>75</v>
      </c>
      <c r="F442" s="4" t="s">
        <v>76</v>
      </c>
      <c r="G442" s="4" t="s">
        <v>571</v>
      </c>
      <c r="H442" s="4" t="s">
        <v>78</v>
      </c>
      <c r="I442" s="4" t="s">
        <v>78</v>
      </c>
      <c r="J442" s="4" t="s">
        <v>109</v>
      </c>
      <c r="K442" s="4" t="s">
        <v>80</v>
      </c>
      <c r="L442" s="4" t="s">
        <v>81</v>
      </c>
      <c r="X442" s="5">
        <v>3.1461</v>
      </c>
      <c r="Z442" s="5">
        <v>0.0</v>
      </c>
      <c r="AB442" s="5">
        <v>1.3621</v>
      </c>
      <c r="AD442" s="5">
        <v>1.1797</v>
      </c>
      <c r="AF442" s="5">
        <v>0.0</v>
      </c>
      <c r="AH442" s="5">
        <v>0.0</v>
      </c>
      <c r="AJ442" s="5">
        <v>0.0</v>
      </c>
      <c r="AL442" s="5">
        <v>0.0</v>
      </c>
      <c r="AN442" s="5">
        <v>0.0</v>
      </c>
      <c r="AP442" s="5">
        <v>0.0</v>
      </c>
      <c r="AR442" s="5">
        <v>1.3194</v>
      </c>
      <c r="AS442" s="5">
        <v>1.308</v>
      </c>
      <c r="AT442" s="5">
        <v>5.5164</v>
      </c>
      <c r="AU442" s="5">
        <v>5.4632</v>
      </c>
      <c r="AV442" s="5">
        <v>0.0</v>
      </c>
      <c r="AW442" s="5">
        <v>2.2378</v>
      </c>
      <c r="AX442" s="5">
        <v>4.3548</v>
      </c>
      <c r="AY442" s="5">
        <v>4.4408</v>
      </c>
      <c r="AZ442" s="5">
        <v>4.2164</v>
      </c>
      <c r="BA442" s="5">
        <v>2.2824</v>
      </c>
      <c r="BB442" s="5">
        <v>3.5979</v>
      </c>
      <c r="BC442" s="5">
        <v>1.1658</v>
      </c>
      <c r="BD442" s="5">
        <v>2.29</v>
      </c>
      <c r="BE442" s="5">
        <v>6.828</v>
      </c>
      <c r="BF442" s="5">
        <v>1.1234</v>
      </c>
      <c r="BG442" s="5">
        <v>1.1198</v>
      </c>
      <c r="BH442" s="5">
        <v>1.2271</v>
      </c>
      <c r="BI442" s="5">
        <v>1.1884</v>
      </c>
      <c r="BJ442" s="5">
        <v>1.1326</v>
      </c>
      <c r="BK442" s="5">
        <v>2.0774</v>
      </c>
      <c r="BL442" s="5">
        <v>9.5994</v>
      </c>
      <c r="BM442" s="5">
        <v>4.3464</v>
      </c>
      <c r="BN442" s="5">
        <v>6.63</v>
      </c>
      <c r="BO442" s="5">
        <v>6.423</v>
      </c>
      <c r="BP442" s="5">
        <v>6.2334</v>
      </c>
      <c r="BQ442" s="5">
        <v>5.86</v>
      </c>
      <c r="BR442" s="5">
        <v>11.75</v>
      </c>
    </row>
    <row r="443" ht="15.75" customHeight="1">
      <c r="A443" s="4" t="str">
        <f t="shared" si="1"/>
        <v>Liabilities|Portfolio investment, Debt securities, Positions, Derived using counterparty information|Sweden|Half-yearly, semester</v>
      </c>
      <c r="B443" s="4" t="s">
        <v>72</v>
      </c>
      <c r="C443" s="4" t="s">
        <v>779</v>
      </c>
      <c r="D443" s="4" t="s">
        <v>74</v>
      </c>
      <c r="E443" s="4" t="s">
        <v>75</v>
      </c>
      <c r="F443" s="4" t="s">
        <v>76</v>
      </c>
      <c r="G443" s="4" t="s">
        <v>571</v>
      </c>
      <c r="H443" s="4" t="s">
        <v>78</v>
      </c>
      <c r="I443" s="4" t="s">
        <v>78</v>
      </c>
      <c r="J443" s="4" t="s">
        <v>93</v>
      </c>
      <c r="K443" s="4" t="s">
        <v>80</v>
      </c>
      <c r="L443" s="4" t="s">
        <v>81</v>
      </c>
      <c r="N443" s="5">
        <v>84.7358131268249</v>
      </c>
      <c r="V443" s="5">
        <v>2.48174361378017</v>
      </c>
      <c r="X443" s="5">
        <v>34.2632294617564</v>
      </c>
      <c r="Z443" s="5">
        <v>3.67954709842542</v>
      </c>
      <c r="AB443" s="5">
        <v>30.2663804311674</v>
      </c>
      <c r="AD443" s="5">
        <v>6.0313630880579</v>
      </c>
      <c r="AF443" s="5">
        <v>212.415993677525</v>
      </c>
      <c r="AH443" s="5">
        <v>177.841680179618</v>
      </c>
      <c r="AJ443" s="5">
        <v>175.291782961616</v>
      </c>
      <c r="AL443" s="5">
        <v>190.9751984824</v>
      </c>
      <c r="AN443" s="5">
        <v>40.3080614632547</v>
      </c>
      <c r="AP443" s="5">
        <v>31.2663153157077</v>
      </c>
      <c r="AR443" s="5">
        <v>91.78261203782</v>
      </c>
      <c r="AT443" s="5">
        <v>33.3136149942402</v>
      </c>
      <c r="AV443" s="5">
        <v>47.0490913321097</v>
      </c>
      <c r="AW443" s="5">
        <v>12.9920590592292</v>
      </c>
      <c r="AX443" s="5">
        <v>6.7529144156952</v>
      </c>
      <c r="AY443" s="5">
        <v>9.54209714090497</v>
      </c>
      <c r="AZ443" s="5">
        <v>21.1869082562733</v>
      </c>
      <c r="BA443" s="5">
        <v>23.2032295107197</v>
      </c>
      <c r="BB443" s="5">
        <v>30.3362573099415</v>
      </c>
      <c r="BC443" s="5">
        <v>33.2351891506067</v>
      </c>
      <c r="BD443" s="5">
        <v>36.5110202987874</v>
      </c>
      <c r="BE443" s="5">
        <v>14.2206134255519</v>
      </c>
      <c r="BF443" s="5">
        <v>13.5494069446087</v>
      </c>
      <c r="BG443" s="5">
        <v>12.1638924455826</v>
      </c>
      <c r="BH443" s="5">
        <v>13.6966198698821</v>
      </c>
      <c r="BK443" s="5">
        <v>11.6164256258349</v>
      </c>
      <c r="BL443" s="5">
        <v>38.0731349438493</v>
      </c>
      <c r="BM443" s="5">
        <v>21.3537543950076</v>
      </c>
      <c r="BN443" s="5">
        <v>20.4150732950924</v>
      </c>
      <c r="BO443" s="5">
        <v>25.1616186365607</v>
      </c>
      <c r="BP443" s="5">
        <v>30.1000009066265</v>
      </c>
      <c r="BQ443" s="5">
        <v>37.5366692251885</v>
      </c>
      <c r="BR443" s="5">
        <v>42.9976763881952</v>
      </c>
    </row>
    <row r="444" ht="15.75" customHeight="1">
      <c r="A444" s="4" t="str">
        <f t="shared" si="1"/>
        <v>Liabilities|Portfolio investment, Debt securities, Positions, Derived using counterparty information|Belgium|Half-yearly, semester</v>
      </c>
      <c r="B444" s="4" t="s">
        <v>72</v>
      </c>
      <c r="C444" s="4" t="s">
        <v>780</v>
      </c>
      <c r="D444" s="4" t="s">
        <v>74</v>
      </c>
      <c r="E444" s="4" t="s">
        <v>75</v>
      </c>
      <c r="F444" s="4" t="s">
        <v>76</v>
      </c>
      <c r="G444" s="4" t="s">
        <v>571</v>
      </c>
      <c r="H444" s="4" t="s">
        <v>78</v>
      </c>
      <c r="I444" s="4" t="s">
        <v>78</v>
      </c>
      <c r="J444" s="4" t="s">
        <v>600</v>
      </c>
      <c r="K444" s="4" t="s">
        <v>80</v>
      </c>
      <c r="L444" s="4" t="s">
        <v>81</v>
      </c>
      <c r="N444" s="5">
        <v>171.323714572048</v>
      </c>
      <c r="V444" s="5">
        <v>67.622149</v>
      </c>
      <c r="X444" s="5">
        <v>83.966084621</v>
      </c>
      <c r="Z444" s="5">
        <v>93.46208841</v>
      </c>
      <c r="AB444" s="5">
        <v>202.4756909892</v>
      </c>
      <c r="AD444" s="5">
        <v>203.863099921331</v>
      </c>
      <c r="AF444" s="5">
        <v>64.774011</v>
      </c>
      <c r="AH444" s="5">
        <v>78.0698793</v>
      </c>
      <c r="AJ444" s="5">
        <v>100.401830516838</v>
      </c>
      <c r="AL444" s="5">
        <v>7.05894</v>
      </c>
      <c r="AN444" s="5">
        <v>1.376286</v>
      </c>
      <c r="AP444" s="5">
        <v>98.46579</v>
      </c>
      <c r="AR444" s="5">
        <v>101.32992</v>
      </c>
      <c r="AS444" s="5">
        <v>115.8888</v>
      </c>
      <c r="AT444" s="5">
        <v>130.87659</v>
      </c>
      <c r="AU444" s="5">
        <v>171.54448</v>
      </c>
      <c r="AV444" s="5">
        <v>185.02884</v>
      </c>
      <c r="AW444" s="5">
        <v>68.81235</v>
      </c>
      <c r="AX444" s="5">
        <v>163.19613</v>
      </c>
      <c r="AY444" s="5">
        <v>138.66398</v>
      </c>
      <c r="AZ444" s="5">
        <v>249.92711</v>
      </c>
      <c r="BA444" s="5">
        <v>311.66172</v>
      </c>
      <c r="BB444" s="5">
        <v>530.81018</v>
      </c>
      <c r="BC444" s="5">
        <v>591.29376</v>
      </c>
      <c r="BD444" s="5">
        <v>542.8445</v>
      </c>
      <c r="BE444" s="5">
        <v>490.1366</v>
      </c>
      <c r="BF444" s="5">
        <v>326.9094</v>
      </c>
      <c r="BG444" s="5">
        <v>285.549</v>
      </c>
      <c r="BH444" s="5">
        <v>312.9105</v>
      </c>
      <c r="BI444" s="5">
        <v>250.7524</v>
      </c>
      <c r="BJ444" s="5">
        <v>236.7134</v>
      </c>
      <c r="BK444" s="5">
        <v>163.0759</v>
      </c>
      <c r="BL444" s="5">
        <v>306.1142</v>
      </c>
      <c r="BM444" s="5">
        <v>344.4522</v>
      </c>
      <c r="BN444" s="5">
        <v>426.53</v>
      </c>
      <c r="BO444" s="5">
        <v>370.393</v>
      </c>
      <c r="BP444" s="5">
        <v>290.892</v>
      </c>
      <c r="BQ444" s="5">
        <v>308.236</v>
      </c>
      <c r="BR444" s="5">
        <v>311.375</v>
      </c>
    </row>
    <row r="445" ht="15.75" customHeight="1">
      <c r="A445" s="4" t="str">
        <f t="shared" si="1"/>
        <v>Liabilities|Portfolio investment, Debt securities, Long-term, Positions, Derived using counterparty information|Portugal|Half-yearly, semester</v>
      </c>
      <c r="B445" s="4" t="s">
        <v>72</v>
      </c>
      <c r="C445" s="4" t="s">
        <v>781</v>
      </c>
      <c r="D445" s="4" t="s">
        <v>74</v>
      </c>
      <c r="E445" s="4" t="s">
        <v>75</v>
      </c>
      <c r="F445" s="4" t="s">
        <v>76</v>
      </c>
      <c r="G445" s="4" t="s">
        <v>549</v>
      </c>
      <c r="H445" s="4" t="s">
        <v>78</v>
      </c>
      <c r="I445" s="4" t="s">
        <v>78</v>
      </c>
      <c r="J445" s="4" t="s">
        <v>256</v>
      </c>
      <c r="K445" s="4" t="s">
        <v>80</v>
      </c>
      <c r="L445" s="4" t="s">
        <v>81</v>
      </c>
      <c r="N445" s="5">
        <v>23.065399354156</v>
      </c>
      <c r="X445" s="5">
        <v>0.0</v>
      </c>
      <c r="Z445" s="5">
        <v>0.0</v>
      </c>
      <c r="AB445" s="5">
        <v>0.0</v>
      </c>
      <c r="AD445" s="5">
        <v>28.265612</v>
      </c>
      <c r="AF445" s="5">
        <v>30.73878</v>
      </c>
      <c r="AH445" s="5">
        <v>13.808298</v>
      </c>
      <c r="AJ445" s="5">
        <v>13.318569</v>
      </c>
      <c r="AL445" s="5">
        <v>0.0</v>
      </c>
      <c r="AN445" s="5">
        <v>9.126246</v>
      </c>
      <c r="AP445" s="5">
        <v>15.099813</v>
      </c>
      <c r="AR445" s="5">
        <v>0.0</v>
      </c>
      <c r="AS445" s="5">
        <v>0.0</v>
      </c>
      <c r="AT445" s="5">
        <v>41.276463</v>
      </c>
      <c r="AU445" s="5">
        <v>38.023872</v>
      </c>
      <c r="AV445" s="5">
        <v>20.044791</v>
      </c>
      <c r="AW445" s="5">
        <v>6.187517</v>
      </c>
      <c r="AX445" s="5">
        <v>0.0</v>
      </c>
      <c r="AY445" s="5">
        <v>15.309658</v>
      </c>
      <c r="AZ445" s="5">
        <v>34.184463</v>
      </c>
      <c r="BA445" s="5">
        <v>44.027496</v>
      </c>
      <c r="BB445" s="5">
        <v>38.173719</v>
      </c>
      <c r="BC445" s="5">
        <v>53.125506</v>
      </c>
      <c r="BD445" s="5">
        <v>59.57435</v>
      </c>
      <c r="BE445" s="5">
        <v>49.45748</v>
      </c>
      <c r="BF445" s="5">
        <v>37.027264</v>
      </c>
      <c r="BG445" s="5">
        <v>27.244734</v>
      </c>
      <c r="BH445" s="5">
        <v>28.186487</v>
      </c>
      <c r="BI445" s="5">
        <v>16.542528</v>
      </c>
      <c r="BJ445" s="5">
        <v>5.821564</v>
      </c>
      <c r="BK445" s="5">
        <v>8.51734</v>
      </c>
      <c r="BL445" s="5">
        <v>23.902506</v>
      </c>
      <c r="BM445" s="5">
        <v>28.838364</v>
      </c>
      <c r="BN445" s="5">
        <v>23.30445</v>
      </c>
      <c r="BO445" s="5">
        <v>13.349135</v>
      </c>
      <c r="BP445" s="5">
        <v>39.332754</v>
      </c>
      <c r="BQ445" s="5">
        <v>52.78688</v>
      </c>
      <c r="BR445" s="5">
        <v>69.83025</v>
      </c>
    </row>
    <row r="446" ht="15.75" customHeight="1">
      <c r="A446" s="4" t="str">
        <f t="shared" si="1"/>
        <v>Liabilities|Portfolio investment, Debt securities, Long-term, Positions, Derived using counterparty information|Chile|Half-yearly, semester</v>
      </c>
      <c r="B446" s="4" t="s">
        <v>72</v>
      </c>
      <c r="C446" s="4" t="s">
        <v>782</v>
      </c>
      <c r="D446" s="4" t="s">
        <v>74</v>
      </c>
      <c r="E446" s="4" t="s">
        <v>75</v>
      </c>
      <c r="F446" s="4" t="s">
        <v>76</v>
      </c>
      <c r="G446" s="4" t="s">
        <v>549</v>
      </c>
      <c r="H446" s="4" t="s">
        <v>78</v>
      </c>
      <c r="I446" s="4" t="s">
        <v>78</v>
      </c>
      <c r="J446" s="4" t="s">
        <v>135</v>
      </c>
      <c r="K446" s="4" t="s">
        <v>80</v>
      </c>
      <c r="L446" s="4" t="s">
        <v>81</v>
      </c>
      <c r="N446" s="5">
        <v>0.0</v>
      </c>
      <c r="V446" s="5">
        <v>0.0</v>
      </c>
      <c r="X446" s="5">
        <v>5.62747063299944</v>
      </c>
      <c r="Z446" s="5">
        <v>3.4453098575778</v>
      </c>
      <c r="AB446" s="5">
        <v>4.04759564585576</v>
      </c>
      <c r="AD446" s="5">
        <v>0.112070450731707</v>
      </c>
      <c r="AF446" s="5">
        <v>0.0</v>
      </c>
      <c r="AH446" s="5">
        <v>0.0</v>
      </c>
      <c r="AJ446" s="5">
        <v>0.0</v>
      </c>
      <c r="AL446" s="5">
        <v>0.0</v>
      </c>
      <c r="AN446" s="5">
        <v>4.56684458954708</v>
      </c>
      <c r="AP446" s="5">
        <v>0.0</v>
      </c>
      <c r="AR446" s="5">
        <v>0.621479772644577</v>
      </c>
      <c r="AS446" s="5">
        <v>0.813090696644457</v>
      </c>
      <c r="AT446" s="5">
        <v>8.84939271</v>
      </c>
      <c r="AU446" s="5">
        <v>23.08046717</v>
      </c>
      <c r="AV446" s="5">
        <v>22.02815156</v>
      </c>
      <c r="AW446" s="5">
        <v>17.29852357</v>
      </c>
      <c r="AX446" s="5">
        <v>11.16603147</v>
      </c>
      <c r="AY446" s="5">
        <v>18.61589821</v>
      </c>
      <c r="AZ446" s="5">
        <v>18.05035635</v>
      </c>
      <c r="BA446" s="5">
        <v>21.24415807</v>
      </c>
      <c r="BB446" s="5">
        <v>35.89405797</v>
      </c>
      <c r="BC446" s="5">
        <v>23.89341349</v>
      </c>
      <c r="BD446" s="5">
        <v>24.38095846</v>
      </c>
      <c r="BE446" s="5">
        <v>15.20522559</v>
      </c>
      <c r="BF446" s="5">
        <v>15.57162538</v>
      </c>
      <c r="BG446" s="5">
        <v>33.72626975</v>
      </c>
      <c r="BH446" s="5">
        <v>14.0120751</v>
      </c>
      <c r="BI446" s="5">
        <v>9.25453304</v>
      </c>
      <c r="BJ446" s="5">
        <v>9.59966719</v>
      </c>
      <c r="BK446" s="5">
        <v>8.58425306</v>
      </c>
      <c r="BL446" s="5">
        <v>9.77957809535228</v>
      </c>
      <c r="BM446" s="5">
        <v>11.7471803005132</v>
      </c>
      <c r="BN446" s="5">
        <v>13.9838303212951</v>
      </c>
      <c r="BO446" s="5">
        <v>14.5612670480194</v>
      </c>
      <c r="BP446" s="5">
        <v>14.1652488924077</v>
      </c>
      <c r="BQ446" s="5">
        <v>14.1023967027702</v>
      </c>
      <c r="BR446" s="5">
        <v>11.7791442684292</v>
      </c>
    </row>
    <row r="447" ht="15.75" customHeight="1">
      <c r="A447" s="4" t="str">
        <f t="shared" si="1"/>
        <v>Liabilities|Portfolio investment, Debt securities, Long-term, Positions, Derived using counterparty information|France|Half-yearly, semester</v>
      </c>
      <c r="B447" s="4" t="s">
        <v>72</v>
      </c>
      <c r="C447" s="4" t="s">
        <v>783</v>
      </c>
      <c r="D447" s="4" t="s">
        <v>74</v>
      </c>
      <c r="E447" s="4" t="s">
        <v>75</v>
      </c>
      <c r="F447" s="4" t="s">
        <v>76</v>
      </c>
      <c r="G447" s="4" t="s">
        <v>549</v>
      </c>
      <c r="H447" s="4" t="s">
        <v>78</v>
      </c>
      <c r="I447" s="4" t="s">
        <v>78</v>
      </c>
      <c r="J447" s="4" t="s">
        <v>610</v>
      </c>
      <c r="K447" s="4" t="s">
        <v>80</v>
      </c>
      <c r="L447" s="4" t="s">
        <v>81</v>
      </c>
      <c r="N447" s="5">
        <v>107.045640520365</v>
      </c>
      <c r="V447" s="5">
        <v>699.7522</v>
      </c>
      <c r="X447" s="5">
        <v>364.2711885</v>
      </c>
      <c r="Z447" s="5">
        <v>395.827989</v>
      </c>
      <c r="AB447" s="5">
        <v>2187.9861793</v>
      </c>
      <c r="AD447" s="5">
        <v>467.7074011</v>
      </c>
      <c r="AF447" s="5">
        <v>271.403409</v>
      </c>
      <c r="AH447" s="5">
        <v>243.9976308</v>
      </c>
      <c r="AJ447" s="5">
        <v>113.674056</v>
      </c>
      <c r="AL447" s="5">
        <v>113.1994668</v>
      </c>
      <c r="AN447" s="5">
        <v>537.265977</v>
      </c>
      <c r="AP447" s="5">
        <v>732.7782687</v>
      </c>
      <c r="AR447" s="5">
        <v>696.3107112</v>
      </c>
      <c r="AS447" s="5">
        <v>1245.365112</v>
      </c>
      <c r="AT447" s="5">
        <v>1317.4418181</v>
      </c>
      <c r="AU447" s="5">
        <v>1311.1529762</v>
      </c>
      <c r="AV447" s="5">
        <v>1218.7099377</v>
      </c>
      <c r="AW447" s="5">
        <v>1066.5522635</v>
      </c>
      <c r="AX447" s="5">
        <v>1379.2566108</v>
      </c>
      <c r="AY447" s="5">
        <v>614.3136272</v>
      </c>
      <c r="AZ447" s="5">
        <v>395.4856708</v>
      </c>
      <c r="BA447" s="5">
        <v>554.7407436</v>
      </c>
      <c r="BB447" s="5">
        <v>460.0190989</v>
      </c>
      <c r="BC447" s="5">
        <v>972.994167</v>
      </c>
      <c r="BD447" s="5">
        <v>284.428305</v>
      </c>
      <c r="BE447" s="5">
        <v>319.750688</v>
      </c>
      <c r="BF447" s="5">
        <v>993.6877424</v>
      </c>
      <c r="BG447" s="5">
        <v>1101.2079606</v>
      </c>
      <c r="BH447" s="5">
        <v>1080.8836724</v>
      </c>
      <c r="BI447" s="5">
        <v>1023.4393844</v>
      </c>
      <c r="BJ447" s="5">
        <v>1222.5216444</v>
      </c>
      <c r="BK447" s="5">
        <v>926.7779976</v>
      </c>
      <c r="BL447" s="5">
        <v>1645.9920524</v>
      </c>
      <c r="BM447" s="5">
        <v>1871.6163432</v>
      </c>
      <c r="BN447" s="5">
        <v>1893.86834</v>
      </c>
      <c r="BO447" s="5">
        <v>1919.8957185</v>
      </c>
      <c r="BP447" s="5">
        <v>1878.6761148</v>
      </c>
      <c r="BQ447" s="5">
        <v>1979.040372</v>
      </c>
      <c r="BR447" s="5">
        <v>1809.94415</v>
      </c>
    </row>
    <row r="448" ht="15.75" customHeight="1">
      <c r="A448" s="4" t="str">
        <f t="shared" si="1"/>
        <v>Liabilities|Portfolio investment, Debt securities, Long-term, Positions, Derived using counterparty information|Hungary|Half-yearly, semester</v>
      </c>
      <c r="B448" s="4" t="s">
        <v>72</v>
      </c>
      <c r="C448" s="4" t="s">
        <v>784</v>
      </c>
      <c r="D448" s="4" t="s">
        <v>74</v>
      </c>
      <c r="E448" s="4" t="s">
        <v>75</v>
      </c>
      <c r="F448" s="4" t="s">
        <v>76</v>
      </c>
      <c r="G448" s="4" t="s">
        <v>549</v>
      </c>
      <c r="H448" s="4" t="s">
        <v>78</v>
      </c>
      <c r="I448" s="4" t="s">
        <v>78</v>
      </c>
      <c r="J448" s="4" t="s">
        <v>180</v>
      </c>
      <c r="K448" s="4" t="s">
        <v>80</v>
      </c>
      <c r="L448" s="4" t="s">
        <v>81</v>
      </c>
      <c r="V448" s="5">
        <v>0.0</v>
      </c>
      <c r="X448" s="5">
        <v>0.0</v>
      </c>
      <c r="AL448" s="5">
        <v>0.0</v>
      </c>
      <c r="AN448" s="5">
        <v>0.0</v>
      </c>
      <c r="AR448" s="5">
        <v>0.0</v>
      </c>
      <c r="AS448" s="5">
        <v>0.0</v>
      </c>
      <c r="AT448" s="5">
        <v>3.6398200955163</v>
      </c>
      <c r="AU448" s="5">
        <v>3.6410866023863</v>
      </c>
      <c r="AV448" s="5">
        <v>3.61980473121599</v>
      </c>
      <c r="AW448" s="5">
        <v>0.0</v>
      </c>
      <c r="AX448" s="5">
        <v>0.0</v>
      </c>
      <c r="AY448" s="5">
        <v>0.0</v>
      </c>
      <c r="AZ448" s="5">
        <v>0.0</v>
      </c>
      <c r="BA448" s="5">
        <v>0.0</v>
      </c>
      <c r="BB448" s="5">
        <v>0.0</v>
      </c>
      <c r="BC448" s="5">
        <v>0.0</v>
      </c>
      <c r="BD448" s="5">
        <v>0.0</v>
      </c>
      <c r="BE448" s="5">
        <v>0.0</v>
      </c>
      <c r="BF448" s="5">
        <v>0.0</v>
      </c>
      <c r="BG448" s="5">
        <v>0.0</v>
      </c>
      <c r="BH448" s="5">
        <v>0.0</v>
      </c>
      <c r="BI448" s="5">
        <v>0.0</v>
      </c>
      <c r="BJ448" s="5">
        <v>0.0</v>
      </c>
      <c r="BK448" s="5">
        <v>0.0447380194215637</v>
      </c>
      <c r="BL448" s="5">
        <v>0.0452512776831346</v>
      </c>
      <c r="BM448" s="5">
        <v>0.0438084112149533</v>
      </c>
      <c r="BN448" s="5">
        <v>0.0461840434130008</v>
      </c>
      <c r="BO448" s="5">
        <v>0.0487276664861938</v>
      </c>
      <c r="BP448" s="5">
        <v>0.0482723577235772</v>
      </c>
      <c r="BQ448" s="5">
        <v>0.0499397785023942</v>
      </c>
      <c r="BR448" s="5">
        <v>0.0517629864198283</v>
      </c>
    </row>
    <row r="449" ht="15.75" customHeight="1">
      <c r="A449" s="4" t="str">
        <f t="shared" si="1"/>
        <v>Liabilities|Portfolio investment, Debt securities, Positions, Derived using counterparty information|Germany|Half-yearly, semester</v>
      </c>
      <c r="B449" s="4" t="s">
        <v>72</v>
      </c>
      <c r="C449" s="4" t="s">
        <v>785</v>
      </c>
      <c r="D449" s="4" t="s">
        <v>74</v>
      </c>
      <c r="E449" s="4" t="s">
        <v>75</v>
      </c>
      <c r="F449" s="4" t="s">
        <v>76</v>
      </c>
      <c r="G449" s="4" t="s">
        <v>571</v>
      </c>
      <c r="H449" s="4" t="s">
        <v>78</v>
      </c>
      <c r="I449" s="4" t="s">
        <v>78</v>
      </c>
      <c r="J449" s="4" t="s">
        <v>678</v>
      </c>
      <c r="K449" s="4" t="s">
        <v>80</v>
      </c>
      <c r="L449" s="4" t="s">
        <v>81</v>
      </c>
      <c r="V449" s="5">
        <v>211.512</v>
      </c>
      <c r="X449" s="5">
        <v>221.2757</v>
      </c>
      <c r="Z449" s="5">
        <v>304.383</v>
      </c>
      <c r="AB449" s="5">
        <v>498.5286</v>
      </c>
      <c r="AD449" s="5">
        <v>287.8468</v>
      </c>
      <c r="AF449" s="5">
        <v>263.4</v>
      </c>
      <c r="AH449" s="5">
        <v>777.2688</v>
      </c>
      <c r="AJ449" s="5">
        <v>452.3025</v>
      </c>
      <c r="AL449" s="5">
        <v>116.6886</v>
      </c>
      <c r="AN449" s="5">
        <v>517.1094</v>
      </c>
      <c r="AP449" s="5">
        <v>729.7596</v>
      </c>
      <c r="AR449" s="5">
        <v>1096.4214</v>
      </c>
      <c r="AS449" s="5">
        <v>1179.816</v>
      </c>
      <c r="AT449" s="5">
        <v>1457.7087</v>
      </c>
      <c r="AU449" s="5">
        <v>1734.566</v>
      </c>
      <c r="AV449" s="5">
        <v>1765.3014</v>
      </c>
      <c r="AW449" s="5">
        <v>1288.9728</v>
      </c>
      <c r="AX449" s="5">
        <v>2387.5191</v>
      </c>
      <c r="AY449" s="5">
        <v>2167.1104</v>
      </c>
      <c r="AZ449" s="5">
        <v>2168.2837</v>
      </c>
      <c r="BA449" s="5">
        <v>2823.3288</v>
      </c>
      <c r="BB449" s="5">
        <v>3799.3824</v>
      </c>
      <c r="BC449" s="5">
        <v>3275.898</v>
      </c>
      <c r="BD449" s="5">
        <v>3217.45</v>
      </c>
      <c r="BE449" s="5">
        <v>2918.97</v>
      </c>
      <c r="BF449" s="5">
        <v>3440.9742</v>
      </c>
      <c r="BG449" s="5">
        <v>3291.0922</v>
      </c>
      <c r="BH449" s="5">
        <v>3849.4127</v>
      </c>
      <c r="BI449" s="5">
        <v>4387.5728</v>
      </c>
      <c r="BJ449" s="5">
        <v>5459.132</v>
      </c>
      <c r="BK449" s="5">
        <v>4292.9471</v>
      </c>
      <c r="BL449" s="5">
        <v>5534.5874</v>
      </c>
      <c r="BM449" s="5">
        <v>5838.3018</v>
      </c>
      <c r="BN449" s="5">
        <v>5454.28</v>
      </c>
      <c r="BO449" s="5">
        <v>4730.5395</v>
      </c>
      <c r="BP449" s="5">
        <v>4784.1345</v>
      </c>
      <c r="BQ449" s="5">
        <v>5386.512</v>
      </c>
      <c r="BR449" s="5">
        <v>5448.475</v>
      </c>
    </row>
    <row r="450" ht="15.75" customHeight="1">
      <c r="A450" s="4" t="str">
        <f t="shared" si="1"/>
        <v>Liabilities|Portfolio investment, Debt securities, Positions, Derived using counterparty information|Spain|Half-yearly, semester</v>
      </c>
      <c r="B450" s="4" t="s">
        <v>72</v>
      </c>
      <c r="C450" s="4" t="s">
        <v>786</v>
      </c>
      <c r="D450" s="4" t="s">
        <v>74</v>
      </c>
      <c r="E450" s="4" t="s">
        <v>75</v>
      </c>
      <c r="F450" s="4" t="s">
        <v>76</v>
      </c>
      <c r="G450" s="4" t="s">
        <v>571</v>
      </c>
      <c r="H450" s="4" t="s">
        <v>78</v>
      </c>
      <c r="I450" s="4" t="s">
        <v>78</v>
      </c>
      <c r="J450" s="4" t="s">
        <v>664</v>
      </c>
      <c r="K450" s="4" t="s">
        <v>80</v>
      </c>
      <c r="L450" s="4" t="s">
        <v>81</v>
      </c>
      <c r="N450" s="5">
        <v>11.6807622839514</v>
      </c>
      <c r="X450" s="5">
        <v>93.22943</v>
      </c>
      <c r="Z450" s="5">
        <v>107.1024</v>
      </c>
      <c r="AB450" s="5">
        <v>225.56376</v>
      </c>
      <c r="AD450" s="5">
        <v>268.9716</v>
      </c>
      <c r="AF450" s="5">
        <v>302.1198</v>
      </c>
      <c r="AH450" s="5">
        <v>76.3902882771</v>
      </c>
      <c r="BE450" s="5">
        <v>356.194</v>
      </c>
      <c r="BI450" s="5">
        <v>59.42</v>
      </c>
      <c r="BJ450" s="5">
        <v>152.901</v>
      </c>
      <c r="BK450" s="5">
        <v>63.3607</v>
      </c>
      <c r="BL450" s="5">
        <v>339.1788</v>
      </c>
      <c r="BM450" s="5">
        <v>518.3082</v>
      </c>
      <c r="BN450" s="5">
        <v>714.935</v>
      </c>
      <c r="BO450" s="5">
        <v>533.109</v>
      </c>
      <c r="BP450" s="5">
        <v>181.8075</v>
      </c>
      <c r="BQ450" s="5">
        <v>210.96</v>
      </c>
      <c r="BR450" s="5">
        <v>289.05</v>
      </c>
    </row>
    <row r="451" ht="15.75" customHeight="1">
      <c r="A451" s="4" t="str">
        <f t="shared" si="1"/>
        <v>Liabilities|Portfolio investment, Debt securities, Long-term, Positions, Derived using counterparty information|Mongolia|Half-yearly, semester</v>
      </c>
      <c r="B451" s="4" t="s">
        <v>72</v>
      </c>
      <c r="C451" s="4" t="s">
        <v>787</v>
      </c>
      <c r="D451" s="4" t="s">
        <v>74</v>
      </c>
      <c r="E451" s="4" t="s">
        <v>75</v>
      </c>
      <c r="F451" s="4" t="s">
        <v>76</v>
      </c>
      <c r="G451" s="4" t="s">
        <v>549</v>
      </c>
      <c r="H451" s="4" t="s">
        <v>78</v>
      </c>
      <c r="I451" s="4" t="s">
        <v>78</v>
      </c>
      <c r="J451" s="4" t="s">
        <v>536</v>
      </c>
      <c r="K451" s="4" t="s">
        <v>80</v>
      </c>
      <c r="L451" s="4" t="s">
        <v>81</v>
      </c>
      <c r="AR451" s="5">
        <v>0.0</v>
      </c>
      <c r="BH451" s="5">
        <v>0.0</v>
      </c>
      <c r="BI451" s="5">
        <v>0.0</v>
      </c>
      <c r="BJ451" s="5">
        <v>0.0</v>
      </c>
      <c r="BK451" s="5">
        <v>0.0</v>
      </c>
      <c r="BL451" s="5">
        <v>0.0</v>
      </c>
      <c r="BM451" s="5">
        <v>0.0</v>
      </c>
      <c r="BN451" s="5">
        <v>0.0</v>
      </c>
      <c r="BO451" s="5">
        <v>0.0</v>
      </c>
      <c r="BP451" s="5">
        <v>0.0</v>
      </c>
      <c r="BQ451" s="5">
        <v>0.0</v>
      </c>
      <c r="BR451" s="5">
        <v>0.0</v>
      </c>
    </row>
    <row r="452" ht="15.75" customHeight="1">
      <c r="A452" s="4" t="str">
        <f t="shared" si="1"/>
        <v>Liabilities|Portfolio investment, Debt securities, Positions, Derived using counterparty information|Singapore|Half-yearly, semester</v>
      </c>
      <c r="B452" s="4" t="s">
        <v>72</v>
      </c>
      <c r="C452" s="4" t="s">
        <v>788</v>
      </c>
      <c r="D452" s="4" t="s">
        <v>74</v>
      </c>
      <c r="E452" s="4" t="s">
        <v>75</v>
      </c>
      <c r="F452" s="4" t="s">
        <v>76</v>
      </c>
      <c r="G452" s="4" t="s">
        <v>571</v>
      </c>
      <c r="H452" s="4" t="s">
        <v>78</v>
      </c>
      <c r="I452" s="4" t="s">
        <v>78</v>
      </c>
      <c r="J452" s="4" t="s">
        <v>661</v>
      </c>
      <c r="K452" s="4" t="s">
        <v>80</v>
      </c>
      <c r="L452" s="4" t="s">
        <v>81</v>
      </c>
      <c r="N452" s="5">
        <v>167.955834079379</v>
      </c>
      <c r="V452" s="5">
        <v>1152.59157212318</v>
      </c>
      <c r="X452" s="5">
        <v>1343.47135041751</v>
      </c>
      <c r="Z452" s="5">
        <v>708.908160865475</v>
      </c>
      <c r="AB452" s="5">
        <v>337.732892642918</v>
      </c>
      <c r="AD452" s="5">
        <v>523.915995673597</v>
      </c>
      <c r="AF452" s="5">
        <v>766.774908711528</v>
      </c>
      <c r="AH452" s="5">
        <v>447.359145156814</v>
      </c>
      <c r="AJ452" s="5">
        <v>509.360061145081</v>
      </c>
      <c r="AL452" s="5">
        <v>953.116716545532</v>
      </c>
      <c r="AN452" s="5">
        <v>930.984077669903</v>
      </c>
      <c r="AP452" s="5">
        <v>2129.38340893365</v>
      </c>
      <c r="AT452" s="5">
        <v>455.832608867462</v>
      </c>
      <c r="AV452" s="5">
        <v>682.003330053735</v>
      </c>
      <c r="AX452" s="5">
        <v>600.695240115991</v>
      </c>
      <c r="BF452" s="5">
        <v>1244.70902612827</v>
      </c>
      <c r="BH452" s="5">
        <v>838.245215944331</v>
      </c>
      <c r="BN452" s="5">
        <v>3895.47929622327</v>
      </c>
      <c r="BP452" s="5">
        <v>2891.16665441447</v>
      </c>
      <c r="BR452" s="5">
        <v>2553.06050930613</v>
      </c>
    </row>
    <row r="453" ht="15.75" customHeight="1">
      <c r="A453" s="4" t="str">
        <f t="shared" si="1"/>
        <v>Liabilities|Portfolio investment, Debt securities, Positions, Derived using counterparty information|Italy|Half-yearly, semester</v>
      </c>
      <c r="B453" s="4" t="s">
        <v>72</v>
      </c>
      <c r="C453" s="4" t="s">
        <v>789</v>
      </c>
      <c r="D453" s="4" t="s">
        <v>74</v>
      </c>
      <c r="E453" s="4" t="s">
        <v>75</v>
      </c>
      <c r="F453" s="4" t="s">
        <v>76</v>
      </c>
      <c r="G453" s="4" t="s">
        <v>571</v>
      </c>
      <c r="H453" s="4" t="s">
        <v>78</v>
      </c>
      <c r="I453" s="4" t="s">
        <v>78</v>
      </c>
      <c r="J453" s="4" t="s">
        <v>646</v>
      </c>
      <c r="K453" s="4" t="s">
        <v>80</v>
      </c>
      <c r="L453" s="4" t="s">
        <v>81</v>
      </c>
      <c r="N453" s="5">
        <v>144.556126089628</v>
      </c>
      <c r="V453" s="5">
        <v>60.811804262384</v>
      </c>
      <c r="X453" s="5">
        <v>365.9963</v>
      </c>
      <c r="Z453" s="5">
        <v>80.832</v>
      </c>
      <c r="AB453" s="5">
        <v>220.6602</v>
      </c>
      <c r="AD453" s="5">
        <v>276.3946286694</v>
      </c>
      <c r="AF453" s="5">
        <v>76.321589481</v>
      </c>
      <c r="AH453" s="5">
        <v>42.6801360048</v>
      </c>
      <c r="AJ453" s="5">
        <v>4.0225237539</v>
      </c>
      <c r="AL453" s="5">
        <v>2.7686214318</v>
      </c>
      <c r="AN453" s="5">
        <v>11.2724464314</v>
      </c>
      <c r="AP453" s="5">
        <v>32.3377866927</v>
      </c>
      <c r="AR453" s="5">
        <v>77.4406630512</v>
      </c>
      <c r="AS453" s="5">
        <v>79.983052884</v>
      </c>
      <c r="AT453" s="5">
        <v>61.5699195</v>
      </c>
      <c r="AU453" s="5">
        <v>73.8771695686</v>
      </c>
      <c r="AV453" s="5">
        <v>118.653993</v>
      </c>
      <c r="AW453" s="5">
        <v>278.8124687971</v>
      </c>
      <c r="AX453" s="5">
        <v>453.5467576713</v>
      </c>
      <c r="AY453" s="5">
        <v>189.7734547254</v>
      </c>
      <c r="AZ453" s="5">
        <v>169.6561764604</v>
      </c>
      <c r="BA453" s="5">
        <v>291.9243658644</v>
      </c>
      <c r="BB453" s="5">
        <v>269.8064802238</v>
      </c>
      <c r="BC453" s="5">
        <v>229.9502215128</v>
      </c>
      <c r="BD453" s="5">
        <v>151.300193515</v>
      </c>
      <c r="BE453" s="5">
        <v>168.836167668</v>
      </c>
      <c r="BF453" s="5">
        <v>313.4626176754</v>
      </c>
      <c r="BG453" s="5">
        <v>222.5060203256</v>
      </c>
      <c r="BH453" s="5">
        <v>194.4523560973</v>
      </c>
      <c r="BI453" s="5">
        <v>157.0694244996</v>
      </c>
      <c r="BJ453" s="5">
        <v>753.7245043314</v>
      </c>
      <c r="BK453" s="5">
        <v>625.6604495401</v>
      </c>
      <c r="BL453" s="5">
        <v>729.687106372</v>
      </c>
      <c r="BM453" s="5">
        <v>747.259052307</v>
      </c>
      <c r="BN453" s="5">
        <v>773.953935105</v>
      </c>
      <c r="BO453" s="5">
        <v>700.6974010895</v>
      </c>
      <c r="BP453" s="5">
        <v>715.8455073198</v>
      </c>
      <c r="BQ453" s="5">
        <v>820.043286564</v>
      </c>
      <c r="BR453" s="5">
        <v>727.1400691</v>
      </c>
    </row>
    <row r="454" ht="15.75" customHeight="1">
      <c r="A454" s="4" t="str">
        <f t="shared" si="1"/>
        <v>Liabilities|Portfolio investment, Debt securities, Positions, Derived using counterparty information|Jersey|Half-yearly, semester</v>
      </c>
      <c r="B454" s="4" t="s">
        <v>72</v>
      </c>
      <c r="C454" s="4" t="s">
        <v>790</v>
      </c>
      <c r="D454" s="4" t="s">
        <v>74</v>
      </c>
      <c r="E454" s="4" t="s">
        <v>75</v>
      </c>
      <c r="F454" s="4" t="s">
        <v>76</v>
      </c>
      <c r="G454" s="4" t="s">
        <v>571</v>
      </c>
      <c r="H454" s="4" t="s">
        <v>78</v>
      </c>
      <c r="I454" s="4" t="s">
        <v>78</v>
      </c>
      <c r="J454" s="4" t="s">
        <v>304</v>
      </c>
      <c r="K454" s="4" t="s">
        <v>80</v>
      </c>
      <c r="L454" s="4" t="s">
        <v>81</v>
      </c>
      <c r="V454" s="5">
        <v>87.024</v>
      </c>
      <c r="X454" s="5">
        <v>104.767</v>
      </c>
      <c r="Z454" s="5">
        <v>194.5323</v>
      </c>
      <c r="AB454" s="5">
        <v>210.5226</v>
      </c>
      <c r="AD454" s="5">
        <v>39.6037</v>
      </c>
      <c r="AF454" s="5">
        <v>45.149</v>
      </c>
      <c r="AH454" s="5">
        <v>290.493</v>
      </c>
      <c r="AJ454" s="5">
        <v>223.0434</v>
      </c>
      <c r="AL454" s="5">
        <v>87.4530000000001</v>
      </c>
      <c r="AN454" s="5">
        <v>36.0065</v>
      </c>
      <c r="AP454" s="5">
        <v>199.4469</v>
      </c>
      <c r="AR454" s="5">
        <v>67.8540000000001</v>
      </c>
      <c r="AT454" s="5">
        <v>87.2804</v>
      </c>
      <c r="AV454" s="5">
        <v>82.7224000000001</v>
      </c>
      <c r="AX454" s="5">
        <v>47.4208</v>
      </c>
      <c r="AZ454" s="5">
        <v>45.5174</v>
      </c>
      <c r="BB454" s="5">
        <v>4.05345</v>
      </c>
      <c r="BD454" s="5">
        <v>3.80865</v>
      </c>
      <c r="BF454" s="5">
        <v>2.6243</v>
      </c>
      <c r="BH454" s="5">
        <v>5.368</v>
      </c>
      <c r="BJ454" s="5">
        <v>10.7472</v>
      </c>
      <c r="BL454" s="5">
        <v>1.2068</v>
      </c>
      <c r="BN454" s="5">
        <v>34.38585</v>
      </c>
      <c r="BP454" s="5">
        <v>10.0364</v>
      </c>
      <c r="BR454" s="5">
        <v>3.53430101745</v>
      </c>
    </row>
    <row r="455" ht="15.75" customHeight="1">
      <c r="A455" s="4" t="str">
        <f t="shared" si="1"/>
        <v>Liabilities|Portfolio investment, Debt securities, Positions, Derived using counterparty information|Philippines|Half-yearly, semester</v>
      </c>
      <c r="B455" s="4" t="s">
        <v>72</v>
      </c>
      <c r="C455" s="4" t="s">
        <v>791</v>
      </c>
      <c r="D455" s="4" t="s">
        <v>74</v>
      </c>
      <c r="E455" s="4" t="s">
        <v>75</v>
      </c>
      <c r="F455" s="4" t="s">
        <v>76</v>
      </c>
      <c r="G455" s="4" t="s">
        <v>571</v>
      </c>
      <c r="H455" s="4" t="s">
        <v>78</v>
      </c>
      <c r="I455" s="4" t="s">
        <v>78</v>
      </c>
      <c r="J455" s="4" t="s">
        <v>650</v>
      </c>
      <c r="K455" s="4" t="s">
        <v>80</v>
      </c>
      <c r="L455" s="4" t="s">
        <v>81</v>
      </c>
      <c r="AN455" s="5">
        <v>0.0</v>
      </c>
      <c r="AP455" s="5">
        <v>0.0</v>
      </c>
      <c r="AS455" s="5">
        <v>0.078</v>
      </c>
      <c r="AT455" s="5">
        <v>0.082</v>
      </c>
      <c r="BM455" s="5">
        <v>0.2</v>
      </c>
      <c r="BN455" s="5">
        <v>0.40873</v>
      </c>
      <c r="BO455" s="5">
        <v>3.21822</v>
      </c>
      <c r="BP455" s="5">
        <v>3.43173</v>
      </c>
      <c r="BQ455" s="5">
        <v>3.078</v>
      </c>
      <c r="BR455" s="5">
        <v>3.092</v>
      </c>
    </row>
    <row r="456" ht="15.75" customHeight="1">
      <c r="A456" s="4" t="str">
        <f t="shared" si="1"/>
        <v>Liabilities|Portfolio investment, Debt securities, Long-term, Positions, Derived using counterparty information|Luxembourg|Half-yearly, semester</v>
      </c>
      <c r="B456" s="4" t="s">
        <v>72</v>
      </c>
      <c r="C456" s="4" t="s">
        <v>792</v>
      </c>
      <c r="D456" s="4" t="s">
        <v>74</v>
      </c>
      <c r="E456" s="4" t="s">
        <v>75</v>
      </c>
      <c r="F456" s="4" t="s">
        <v>76</v>
      </c>
      <c r="G456" s="4" t="s">
        <v>549</v>
      </c>
      <c r="H456" s="4" t="s">
        <v>78</v>
      </c>
      <c r="I456" s="4" t="s">
        <v>78</v>
      </c>
      <c r="J456" s="4" t="s">
        <v>705</v>
      </c>
      <c r="K456" s="4" t="s">
        <v>80</v>
      </c>
      <c r="L456" s="4" t="s">
        <v>81</v>
      </c>
      <c r="V456" s="5">
        <v>1153.72962974411</v>
      </c>
      <c r="X456" s="5">
        <v>848.512793505161</v>
      </c>
      <c r="Z456" s="5">
        <v>755.537887630199</v>
      </c>
      <c r="AB456" s="5">
        <v>1771.06811229326</v>
      </c>
      <c r="AD456" s="5">
        <v>1038.90212270084</v>
      </c>
      <c r="AF456" s="5">
        <v>1025.60596532259</v>
      </c>
      <c r="AH456" s="5">
        <v>955.392220200454</v>
      </c>
      <c r="AJ456" s="5">
        <v>871.8608235438</v>
      </c>
      <c r="AL456" s="5">
        <v>863.54022657</v>
      </c>
      <c r="AN456" s="5">
        <v>705.0219639168</v>
      </c>
      <c r="AP456" s="5">
        <v>741.2875916988</v>
      </c>
      <c r="AR456" s="5">
        <v>992.1730041432</v>
      </c>
      <c r="AS456" s="5">
        <v>947.568253788</v>
      </c>
      <c r="AT456" s="5">
        <v>1043.9141788065</v>
      </c>
      <c r="AU456" s="5">
        <v>1443.0321275176</v>
      </c>
      <c r="AV456" s="5">
        <v>1706.666744025</v>
      </c>
      <c r="AW456" s="5">
        <v>1526.4854860009</v>
      </c>
      <c r="AX456" s="5">
        <v>1786.8219955047</v>
      </c>
      <c r="AY456" s="5">
        <v>1946.9591266398</v>
      </c>
      <c r="AZ456" s="5">
        <v>2410.9178852793</v>
      </c>
      <c r="BA456" s="5">
        <v>2430.0166667328</v>
      </c>
      <c r="BB456" s="5">
        <v>2221.2510095609</v>
      </c>
      <c r="BC456" s="5">
        <v>2261.384577138</v>
      </c>
      <c r="BD456" s="5">
        <v>2803.866889235</v>
      </c>
      <c r="BE456" s="5">
        <v>2520.255640544</v>
      </c>
      <c r="BF456" s="5">
        <v>2595.9480646304</v>
      </c>
      <c r="BG456" s="5">
        <v>2672.080281585</v>
      </c>
      <c r="BH456" s="5">
        <v>3476.0831545727</v>
      </c>
      <c r="BI456" s="5">
        <v>3288.3860093912</v>
      </c>
      <c r="BJ456" s="5">
        <v>4245.3095481328</v>
      </c>
      <c r="BK456" s="5">
        <v>3542.7960259406</v>
      </c>
      <c r="BL456" s="5">
        <v>4094.0409800454</v>
      </c>
      <c r="BM456" s="5">
        <v>4658.7467427408</v>
      </c>
      <c r="BN456" s="5">
        <v>4687.52115637</v>
      </c>
      <c r="BO456" s="5">
        <v>4148.5952523795</v>
      </c>
      <c r="BP456" s="5">
        <v>4943.4351280707</v>
      </c>
      <c r="BQ456" s="5">
        <v>6478.994594048</v>
      </c>
      <c r="BR456" s="5">
        <v>7470.67022645</v>
      </c>
    </row>
    <row r="457" ht="15.75" customHeight="1">
      <c r="A457" s="4" t="str">
        <f t="shared" si="1"/>
        <v>Liabilities|Portfolio investment, Debt securities, Long-term, Positions, Derived using counterparty information|Denmark|Half-yearly, semester</v>
      </c>
      <c r="B457" s="4" t="s">
        <v>72</v>
      </c>
      <c r="C457" s="4" t="s">
        <v>793</v>
      </c>
      <c r="D457" s="4" t="s">
        <v>74</v>
      </c>
      <c r="E457" s="4" t="s">
        <v>75</v>
      </c>
      <c r="F457" s="4" t="s">
        <v>76</v>
      </c>
      <c r="G457" s="4" t="s">
        <v>549</v>
      </c>
      <c r="H457" s="4" t="s">
        <v>78</v>
      </c>
      <c r="I457" s="4" t="s">
        <v>78</v>
      </c>
      <c r="J457" s="4" t="s">
        <v>608</v>
      </c>
      <c r="K457" s="4" t="s">
        <v>80</v>
      </c>
      <c r="L457" s="4" t="s">
        <v>81</v>
      </c>
      <c r="N457" s="5">
        <v>19.0448285965426</v>
      </c>
      <c r="V457" s="5">
        <v>30.7985016945122</v>
      </c>
      <c r="X457" s="5">
        <v>28.9458077998362</v>
      </c>
      <c r="Z457" s="5">
        <v>28.7028333557137</v>
      </c>
      <c r="AB457" s="5">
        <v>17.1921866998317</v>
      </c>
      <c r="AD457" s="5">
        <v>3.63688113723692</v>
      </c>
      <c r="AF457" s="5">
        <v>4.59250362101247</v>
      </c>
      <c r="AH457" s="5">
        <v>4.92581719307233</v>
      </c>
      <c r="AJ457" s="5">
        <v>8.13638857878106</v>
      </c>
      <c r="AL457" s="5">
        <v>6.16558447814108</v>
      </c>
      <c r="AN457" s="5">
        <v>4.45370815741186</v>
      </c>
      <c r="AP457" s="5">
        <v>7.13589529379003</v>
      </c>
      <c r="AR457" s="5">
        <v>7.59838136806206</v>
      </c>
      <c r="AS457" s="5">
        <v>15.8874262369496</v>
      </c>
      <c r="AT457" s="5">
        <v>9.42228462689601</v>
      </c>
      <c r="AU457" s="5">
        <v>56.6048104929565</v>
      </c>
      <c r="AV457" s="5">
        <v>40.1868853530238</v>
      </c>
      <c r="AW457" s="5">
        <v>45.1436798848161</v>
      </c>
      <c r="AX457" s="5">
        <v>62.9575402635432</v>
      </c>
      <c r="AY457" s="5">
        <v>49.9932844841738</v>
      </c>
      <c r="AZ457" s="5">
        <v>29.2082577132486</v>
      </c>
      <c r="BA457" s="5">
        <v>33.760454231566</v>
      </c>
      <c r="BB457" s="5">
        <v>18.5253797702853</v>
      </c>
      <c r="BC457" s="5">
        <v>16.4252416856991</v>
      </c>
      <c r="BD457" s="5">
        <v>15.645611559346</v>
      </c>
      <c r="BE457" s="5">
        <v>19.0592361058169</v>
      </c>
      <c r="BF457" s="5">
        <v>21.1207477643464</v>
      </c>
      <c r="BG457" s="5">
        <v>30.5020059200938</v>
      </c>
      <c r="BH457" s="5">
        <v>52.3309561542525</v>
      </c>
      <c r="BI457" s="5">
        <v>74.9524555319387</v>
      </c>
      <c r="BJ457" s="5">
        <v>85.350240809608</v>
      </c>
      <c r="BK457" s="5">
        <v>47.6123987712929</v>
      </c>
      <c r="BL457" s="5">
        <v>67.9842804279854</v>
      </c>
      <c r="BM457" s="5">
        <v>40.9985555669035</v>
      </c>
      <c r="BN457" s="5">
        <v>37.8074636381159</v>
      </c>
      <c r="BO457" s="5">
        <v>41.1977491961415</v>
      </c>
      <c r="BP457" s="5">
        <v>38.2197706813759</v>
      </c>
      <c r="BQ457" s="5">
        <v>30.1602262016965</v>
      </c>
      <c r="BR457" s="5">
        <v>30.3807829741685</v>
      </c>
    </row>
    <row r="458" ht="15.75" customHeight="1">
      <c r="A458" s="4" t="str">
        <f t="shared" si="1"/>
        <v>Liabilities|Portfolio investment, Debt securities, Long-term, Positions, Derived using counterparty information|Austria|Half-yearly, semester</v>
      </c>
      <c r="B458" s="4" t="s">
        <v>72</v>
      </c>
      <c r="C458" s="4" t="s">
        <v>794</v>
      </c>
      <c r="D458" s="4" t="s">
        <v>74</v>
      </c>
      <c r="E458" s="4" t="s">
        <v>75</v>
      </c>
      <c r="F458" s="4" t="s">
        <v>76</v>
      </c>
      <c r="G458" s="4" t="s">
        <v>549</v>
      </c>
      <c r="H458" s="4" t="s">
        <v>78</v>
      </c>
      <c r="I458" s="4" t="s">
        <v>78</v>
      </c>
      <c r="J458" s="4" t="s">
        <v>604</v>
      </c>
      <c r="K458" s="4" t="s">
        <v>80</v>
      </c>
      <c r="L458" s="4" t="s">
        <v>81</v>
      </c>
      <c r="N458" s="5">
        <v>15.8315522837014</v>
      </c>
      <c r="V458" s="5">
        <v>18.5073</v>
      </c>
      <c r="X458" s="5">
        <v>16.7792</v>
      </c>
      <c r="Z458" s="5">
        <v>31.575</v>
      </c>
      <c r="AB458" s="5">
        <v>149.831</v>
      </c>
      <c r="AD458" s="5">
        <v>122.6888</v>
      </c>
      <c r="AF458" s="5">
        <v>135.651</v>
      </c>
      <c r="AH458" s="5">
        <v>11.7768</v>
      </c>
      <c r="AJ458" s="5">
        <v>29.2257</v>
      </c>
      <c r="AL458" s="5">
        <v>43.218</v>
      </c>
      <c r="AN458" s="5">
        <v>113.577</v>
      </c>
      <c r="AP458" s="5">
        <v>81.5157</v>
      </c>
      <c r="AR458" s="5">
        <v>89.7192</v>
      </c>
      <c r="AS458" s="5">
        <v>113.796</v>
      </c>
      <c r="AT458" s="5">
        <v>108.9489</v>
      </c>
      <c r="AU458" s="5">
        <v>107.8982</v>
      </c>
      <c r="AV458" s="5">
        <v>88.6293</v>
      </c>
      <c r="AW458" s="5">
        <v>79.4419</v>
      </c>
      <c r="AX458" s="5">
        <v>78.3864</v>
      </c>
      <c r="AY458" s="5">
        <v>62.1712</v>
      </c>
      <c r="AZ458" s="5">
        <v>82.2198</v>
      </c>
      <c r="BA458" s="5">
        <v>170.0388</v>
      </c>
      <c r="BB458" s="5">
        <v>214.6747</v>
      </c>
      <c r="BC458" s="5">
        <v>233.16</v>
      </c>
      <c r="BD458" s="5">
        <v>223.275</v>
      </c>
      <c r="BE458" s="5">
        <v>240.118</v>
      </c>
      <c r="BF458" s="5">
        <v>269.616</v>
      </c>
      <c r="BG458" s="5">
        <v>232.9184</v>
      </c>
      <c r="BH458" s="5">
        <v>247.8742</v>
      </c>
      <c r="BI458" s="5">
        <v>243.622</v>
      </c>
      <c r="BJ458" s="5">
        <v>274.0892</v>
      </c>
      <c r="BK458" s="5">
        <v>261.7524</v>
      </c>
      <c r="BL458" s="5">
        <v>239.985</v>
      </c>
      <c r="BM458" s="5">
        <v>272.7366</v>
      </c>
      <c r="BN458" s="5">
        <v>298.35</v>
      </c>
      <c r="BO458" s="5">
        <v>277.2595</v>
      </c>
      <c r="BP458" s="5">
        <v>242.0637</v>
      </c>
      <c r="BQ458" s="5">
        <v>287.14</v>
      </c>
      <c r="BR458" s="5">
        <v>393.625</v>
      </c>
    </row>
    <row r="459" ht="15.75" customHeight="1">
      <c r="A459" s="4" t="str">
        <f t="shared" si="1"/>
        <v>Liabilities|Portfolio investment, Debt securities, Long-term, Positions, Derived using counterparty information|Canada|Half-yearly, semester</v>
      </c>
      <c r="B459" s="4" t="s">
        <v>72</v>
      </c>
      <c r="C459" s="4" t="s">
        <v>795</v>
      </c>
      <c r="D459" s="4" t="s">
        <v>74</v>
      </c>
      <c r="E459" s="4" t="s">
        <v>75</v>
      </c>
      <c r="F459" s="4" t="s">
        <v>76</v>
      </c>
      <c r="G459" s="4" t="s">
        <v>549</v>
      </c>
      <c r="H459" s="4" t="s">
        <v>78</v>
      </c>
      <c r="I459" s="4" t="s">
        <v>78</v>
      </c>
      <c r="J459" s="4" t="s">
        <v>669</v>
      </c>
      <c r="K459" s="4" t="s">
        <v>80</v>
      </c>
      <c r="L459" s="4" t="s">
        <v>81</v>
      </c>
      <c r="N459" s="5">
        <v>178.229500174764</v>
      </c>
      <c r="V459" s="5">
        <v>46.9365896534405</v>
      </c>
      <c r="X459" s="5">
        <v>127.573097743408</v>
      </c>
      <c r="Z459" s="5">
        <v>94.3308908600077</v>
      </c>
      <c r="AB459" s="5">
        <v>92.0051281198003</v>
      </c>
      <c r="AD459" s="5">
        <v>294.926913155632</v>
      </c>
      <c r="AF459" s="5">
        <v>462.262742406041</v>
      </c>
      <c r="AH459" s="5">
        <v>629.896096035509</v>
      </c>
      <c r="AJ459" s="5">
        <v>441.707717569787</v>
      </c>
      <c r="AL459" s="5">
        <v>527.117031398668</v>
      </c>
      <c r="AN459" s="5">
        <v>691.735371003419</v>
      </c>
      <c r="AP459" s="5">
        <v>663.716814159292</v>
      </c>
      <c r="AR459" s="5">
        <v>703.588300331692</v>
      </c>
      <c r="AS459" s="5">
        <v>727.324586423274</v>
      </c>
      <c r="AT459" s="5">
        <v>606.430989093644</v>
      </c>
      <c r="AU459" s="5">
        <v>651.358950328023</v>
      </c>
      <c r="AV459" s="5">
        <v>893.888457891561</v>
      </c>
      <c r="AW459" s="5">
        <v>849.479583666934</v>
      </c>
      <c r="AX459" s="5">
        <v>632.225433526012</v>
      </c>
      <c r="AY459" s="5">
        <v>637.919021444608</v>
      </c>
      <c r="AZ459" s="5">
        <v>755.939524838013</v>
      </c>
      <c r="BA459" s="5">
        <v>780.61185173769</v>
      </c>
      <c r="BB459" s="5">
        <v>808.290155440415</v>
      </c>
      <c r="BC459" s="5">
        <v>832.32077764277</v>
      </c>
      <c r="BD459" s="5">
        <v>904.625760574738</v>
      </c>
      <c r="BE459" s="5">
        <v>950.56162604111</v>
      </c>
      <c r="BF459" s="5">
        <v>1001.60808637721</v>
      </c>
      <c r="BG459" s="5">
        <v>851.922512474318</v>
      </c>
      <c r="BH459" s="5">
        <v>938.083385189795</v>
      </c>
      <c r="BI459" s="5">
        <v>177.505244473132</v>
      </c>
      <c r="BJ459" s="5">
        <v>278.274387874077</v>
      </c>
      <c r="BK459" s="5">
        <v>376.377463914326</v>
      </c>
      <c r="BL459" s="5">
        <v>397.706388296699</v>
      </c>
      <c r="BM459" s="5">
        <v>657.099697885196</v>
      </c>
      <c r="BN459" s="5">
        <v>665.258711721225</v>
      </c>
      <c r="BO459" s="5">
        <v>719.660992182363</v>
      </c>
      <c r="BP459" s="5">
        <v>810.020876826722</v>
      </c>
      <c r="BQ459" s="5">
        <v>900.828263578392</v>
      </c>
      <c r="BR459" s="5">
        <v>555.960893039545</v>
      </c>
    </row>
    <row r="460" ht="15.75" customHeight="1">
      <c r="A460" s="4" t="str">
        <f t="shared" si="1"/>
        <v>Liabilities|Portfolio investment, Debt securities, Positions, Derived using counterparty information|India|Half-yearly, semester</v>
      </c>
      <c r="B460" s="4" t="s">
        <v>72</v>
      </c>
      <c r="C460" s="4" t="s">
        <v>796</v>
      </c>
      <c r="D460" s="4" t="s">
        <v>74</v>
      </c>
      <c r="E460" s="4" t="s">
        <v>75</v>
      </c>
      <c r="F460" s="4" t="s">
        <v>76</v>
      </c>
      <c r="G460" s="4" t="s">
        <v>571</v>
      </c>
      <c r="H460" s="4" t="s">
        <v>78</v>
      </c>
      <c r="I460" s="4" t="s">
        <v>78</v>
      </c>
      <c r="J460" s="4" t="s">
        <v>659</v>
      </c>
      <c r="K460" s="4" t="s">
        <v>80</v>
      </c>
      <c r="L460" s="4" t="s">
        <v>81</v>
      </c>
      <c r="AR460" s="5">
        <v>0.0</v>
      </c>
      <c r="AT460" s="5">
        <v>0.0</v>
      </c>
      <c r="AU460" s="5">
        <v>0.0</v>
      </c>
      <c r="AV460" s="5">
        <v>0.0</v>
      </c>
      <c r="AW460" s="5">
        <v>0.0</v>
      </c>
      <c r="AX460" s="5">
        <v>0.0</v>
      </c>
      <c r="AY460" s="5">
        <v>0.0</v>
      </c>
      <c r="AZ460" s="5">
        <v>0.0</v>
      </c>
      <c r="BA460" s="5">
        <v>0.0</v>
      </c>
      <c r="BB460" s="5">
        <v>0.0</v>
      </c>
      <c r="BC460" s="5">
        <v>0.0</v>
      </c>
      <c r="BD460" s="5">
        <v>0.0</v>
      </c>
      <c r="BE460" s="5">
        <v>0.0</v>
      </c>
      <c r="BF460" s="5">
        <v>0.0</v>
      </c>
      <c r="BG460" s="5">
        <v>0.0</v>
      </c>
      <c r="BH460" s="5">
        <v>0.0</v>
      </c>
      <c r="BI460" s="5">
        <v>0.0</v>
      </c>
      <c r="BJ460" s="5">
        <v>224.380067965412</v>
      </c>
      <c r="BK460" s="5">
        <v>0.0</v>
      </c>
      <c r="BL460" s="5">
        <v>197.726191080156</v>
      </c>
      <c r="BM460" s="5">
        <v>0.0</v>
      </c>
      <c r="BN460" s="5">
        <v>0.0</v>
      </c>
      <c r="BO460" s="5">
        <v>0.0</v>
      </c>
      <c r="BP460" s="5">
        <v>0.0</v>
      </c>
      <c r="BQ460" s="5">
        <v>0.0</v>
      </c>
      <c r="BR460" s="5">
        <v>0.0</v>
      </c>
    </row>
    <row r="461" ht="15.75" customHeight="1">
      <c r="A461" s="4" t="str">
        <f t="shared" si="1"/>
        <v>Liabilities|Portfolio investment, Debt securities, Long-term, Positions, Derived using counterparty information|SEFER + SSIO|Half-yearly, semester</v>
      </c>
      <c r="B461" s="4" t="s">
        <v>72</v>
      </c>
      <c r="C461" s="4" t="s">
        <v>797</v>
      </c>
      <c r="D461" s="4" t="s">
        <v>74</v>
      </c>
      <c r="E461" s="4" t="s">
        <v>75</v>
      </c>
      <c r="F461" s="4" t="s">
        <v>76</v>
      </c>
      <c r="G461" s="4" t="s">
        <v>549</v>
      </c>
      <c r="H461" s="4" t="s">
        <v>78</v>
      </c>
      <c r="I461" s="4" t="s">
        <v>78</v>
      </c>
      <c r="J461" s="4" t="s">
        <v>798</v>
      </c>
      <c r="K461" s="4" t="s">
        <v>80</v>
      </c>
      <c r="L461" s="4" t="s">
        <v>81</v>
      </c>
      <c r="N461" s="5">
        <v>577.0</v>
      </c>
      <c r="V461" s="5">
        <v>139.80374</v>
      </c>
      <c r="X461" s="5">
        <v>218.9069</v>
      </c>
      <c r="Z461" s="5">
        <v>246.56008484</v>
      </c>
      <c r="AB461" s="5">
        <v>523.58784754</v>
      </c>
      <c r="AD461" s="5">
        <v>236.91842629</v>
      </c>
      <c r="AF461" s="5">
        <v>372.813344</v>
      </c>
      <c r="AH461" s="5">
        <v>612.69367785</v>
      </c>
      <c r="AJ461" s="5">
        <v>307.702941009027</v>
      </c>
      <c r="AL461" s="5">
        <v>877.896460258443</v>
      </c>
      <c r="AN461" s="5">
        <v>1264.51310653806</v>
      </c>
      <c r="AP461" s="5">
        <v>1816.27096330396</v>
      </c>
      <c r="AR461" s="5">
        <v>2551.4059631734</v>
      </c>
      <c r="AS461" s="5">
        <v>2905.74099921291</v>
      </c>
      <c r="AT461" s="5">
        <v>2855.99611846175</v>
      </c>
      <c r="AU461" s="5">
        <v>2896.78455208439</v>
      </c>
      <c r="AV461" s="5">
        <v>3081.8816487698</v>
      </c>
      <c r="AW461" s="5">
        <v>2711.88849493933</v>
      </c>
      <c r="AX461" s="5">
        <v>3219.99536502559</v>
      </c>
      <c r="BF461" s="5">
        <v>4037.311642</v>
      </c>
      <c r="BH461" s="5">
        <v>5109.33561</v>
      </c>
      <c r="BI461" s="5">
        <v>4395.765289</v>
      </c>
      <c r="BJ461" s="5">
        <v>5056.442467</v>
      </c>
      <c r="BK461" s="5">
        <v>4331.862581</v>
      </c>
      <c r="BL461" s="5">
        <v>4673.146628</v>
      </c>
      <c r="BM461" s="5">
        <v>4702.214605</v>
      </c>
      <c r="BN461" s="5">
        <v>4359.491375</v>
      </c>
      <c r="BO461" s="5">
        <v>4684.58911</v>
      </c>
      <c r="BR461" s="5">
        <v>3238.51246066204</v>
      </c>
    </row>
    <row r="462" ht="15.75" customHeight="1">
      <c r="A462" s="4" t="str">
        <f t="shared" si="1"/>
        <v>Liabilities|Portfolio investment, Debt securities, Positions, Derived using counterparty information|Luxembourg|Half-yearly, semester</v>
      </c>
      <c r="B462" s="4" t="s">
        <v>72</v>
      </c>
      <c r="C462" s="4" t="s">
        <v>799</v>
      </c>
      <c r="D462" s="4" t="s">
        <v>74</v>
      </c>
      <c r="E462" s="4" t="s">
        <v>75</v>
      </c>
      <c r="F462" s="4" t="s">
        <v>76</v>
      </c>
      <c r="G462" s="4" t="s">
        <v>571</v>
      </c>
      <c r="H462" s="4" t="s">
        <v>78</v>
      </c>
      <c r="I462" s="4" t="s">
        <v>78</v>
      </c>
      <c r="J462" s="4" t="s">
        <v>705</v>
      </c>
      <c r="K462" s="4" t="s">
        <v>80</v>
      </c>
      <c r="L462" s="4" t="s">
        <v>81</v>
      </c>
      <c r="V462" s="5">
        <v>2169.15792802515</v>
      </c>
      <c r="X462" s="5">
        <v>1667.35443912239</v>
      </c>
      <c r="Z462" s="5">
        <v>970.825173067403</v>
      </c>
      <c r="AB462" s="5">
        <v>2092.6808931098</v>
      </c>
      <c r="AD462" s="5">
        <v>1374.02061310912</v>
      </c>
      <c r="AF462" s="5">
        <v>1274.25087557161</v>
      </c>
      <c r="AH462" s="5">
        <v>1236.64846358303</v>
      </c>
      <c r="AJ462" s="5">
        <v>3664.7691559245</v>
      </c>
      <c r="AL462" s="5">
        <v>2266.105800693</v>
      </c>
      <c r="AN462" s="5">
        <v>933.8313714072</v>
      </c>
      <c r="AP462" s="5">
        <v>1258.3223316999</v>
      </c>
      <c r="AR462" s="5">
        <v>1506.8633694678</v>
      </c>
      <c r="AS462" s="5">
        <v>1717.243845864</v>
      </c>
      <c r="AT462" s="5">
        <v>2004.2840573034</v>
      </c>
      <c r="AU462" s="5">
        <v>1989.57185469</v>
      </c>
      <c r="AV462" s="5">
        <v>2340.7839307044</v>
      </c>
      <c r="AW462" s="5">
        <v>1945.1602556338</v>
      </c>
      <c r="AX462" s="5">
        <v>2406.2696037306</v>
      </c>
      <c r="AY462" s="5">
        <v>3622.9202828728</v>
      </c>
      <c r="AZ462" s="5">
        <v>4408.5139582656</v>
      </c>
      <c r="BA462" s="5">
        <v>3344.0449600296</v>
      </c>
      <c r="BB462" s="5">
        <v>2463.0854087558</v>
      </c>
      <c r="BC462" s="5">
        <v>2381.0196306492</v>
      </c>
      <c r="BD462" s="5">
        <v>2803.866889235</v>
      </c>
      <c r="BE462" s="5">
        <v>2520.255640544</v>
      </c>
      <c r="BF462" s="5">
        <v>2596.3097264094</v>
      </c>
      <c r="BG462" s="5">
        <v>2697.4354292314</v>
      </c>
      <c r="BH462" s="5">
        <v>3500.6543767321</v>
      </c>
      <c r="BI462" s="5">
        <v>3434.215793878</v>
      </c>
      <c r="BJ462" s="5">
        <v>4550.6876793784</v>
      </c>
      <c r="BK462" s="5">
        <v>3615.3299572104</v>
      </c>
      <c r="BL462" s="5">
        <v>4467.7168046466</v>
      </c>
      <c r="BM462" s="5">
        <v>4903.866813717</v>
      </c>
      <c r="BN462" s="5">
        <v>5782.02403649</v>
      </c>
      <c r="BO462" s="5">
        <v>5719.835508553</v>
      </c>
      <c r="BP462" s="5">
        <v>7272.4097836797</v>
      </c>
      <c r="BQ462" s="5">
        <v>9468.44441828</v>
      </c>
      <c r="BR462" s="5">
        <v>9591.20816595</v>
      </c>
    </row>
    <row r="463" ht="15.75" customHeight="1">
      <c r="A463" s="4" t="str">
        <f t="shared" si="1"/>
        <v>Liabilities|Portfolio investment, Debt securities, Positions, Derived using counterparty information|Panama|Half-yearly, semester</v>
      </c>
      <c r="B463" s="4" t="s">
        <v>72</v>
      </c>
      <c r="C463" s="4" t="s">
        <v>800</v>
      </c>
      <c r="D463" s="4" t="s">
        <v>74</v>
      </c>
      <c r="E463" s="4" t="s">
        <v>75</v>
      </c>
      <c r="F463" s="4" t="s">
        <v>76</v>
      </c>
      <c r="G463" s="4" t="s">
        <v>571</v>
      </c>
      <c r="H463" s="4" t="s">
        <v>78</v>
      </c>
      <c r="I463" s="4" t="s">
        <v>78</v>
      </c>
      <c r="J463" s="4" t="s">
        <v>231</v>
      </c>
      <c r="K463" s="4" t="s">
        <v>80</v>
      </c>
      <c r="L463" s="4" t="s">
        <v>81</v>
      </c>
      <c r="AJ463" s="5">
        <v>0.0</v>
      </c>
      <c r="AL463" s="5">
        <v>1.0</v>
      </c>
      <c r="AN463" s="5">
        <v>0.6</v>
      </c>
      <c r="AP463" s="5">
        <v>0.0</v>
      </c>
      <c r="AR463" s="5">
        <v>0.0</v>
      </c>
      <c r="AT463" s="5">
        <v>0.01</v>
      </c>
      <c r="AU463" s="5">
        <v>0.96</v>
      </c>
      <c r="AV463" s="5">
        <v>0.95</v>
      </c>
      <c r="AW463" s="5">
        <v>4.33</v>
      </c>
      <c r="AX463" s="5">
        <v>3.9</v>
      </c>
      <c r="AY463" s="5">
        <v>3.0</v>
      </c>
      <c r="AZ463" s="5">
        <v>2.9</v>
      </c>
      <c r="BB463" s="5">
        <v>1.0</v>
      </c>
      <c r="BE463" s="5">
        <v>0.0</v>
      </c>
      <c r="BF463" s="5">
        <v>0.4294586</v>
      </c>
      <c r="BG463" s="5">
        <v>1.68693348</v>
      </c>
      <c r="BH463" s="5">
        <v>2.05077978</v>
      </c>
      <c r="BI463" s="5">
        <v>1.99961613</v>
      </c>
      <c r="BJ463" s="5">
        <v>3.78780887</v>
      </c>
      <c r="BK463" s="5">
        <v>1.93590187</v>
      </c>
      <c r="BL463" s="5">
        <v>5.0072235892</v>
      </c>
      <c r="BM463" s="5">
        <v>0.2555718</v>
      </c>
      <c r="BN463" s="5">
        <v>0.0619578</v>
      </c>
      <c r="BO463" s="5">
        <v>2.0650196</v>
      </c>
      <c r="BP463" s="5">
        <v>8.720352</v>
      </c>
      <c r="BQ463" s="5">
        <v>8.830933</v>
      </c>
      <c r="BR463" s="5">
        <v>8.910985</v>
      </c>
    </row>
    <row r="464" ht="15.75" customHeight="1">
      <c r="A464" s="4" t="str">
        <f t="shared" si="1"/>
        <v>Liabilities|Portfolio investment, Debt securities, Long-term, Positions, Derived using counterparty information|Slovenia, Republic of|Half-yearly, semester</v>
      </c>
      <c r="B464" s="4" t="s">
        <v>72</v>
      </c>
      <c r="C464" s="4" t="s">
        <v>801</v>
      </c>
      <c r="D464" s="4" t="s">
        <v>74</v>
      </c>
      <c r="E464" s="4" t="s">
        <v>75</v>
      </c>
      <c r="F464" s="4" t="s">
        <v>76</v>
      </c>
      <c r="G464" s="4" t="s">
        <v>549</v>
      </c>
      <c r="H464" s="4" t="s">
        <v>78</v>
      </c>
      <c r="I464" s="4" t="s">
        <v>78</v>
      </c>
      <c r="J464" s="4" t="s">
        <v>490</v>
      </c>
      <c r="K464" s="4" t="s">
        <v>80</v>
      </c>
      <c r="L464" s="4" t="s">
        <v>81</v>
      </c>
      <c r="AL464" s="5">
        <v>0.0</v>
      </c>
      <c r="AN464" s="5">
        <v>0.0547842</v>
      </c>
      <c r="AP464" s="5">
        <v>0.090573</v>
      </c>
      <c r="AR464" s="5">
        <v>0.1068714</v>
      </c>
      <c r="AS464" s="5">
        <v>0.096792</v>
      </c>
      <c r="AT464" s="5">
        <v>1.4742579</v>
      </c>
      <c r="AU464" s="5">
        <v>3.5073744</v>
      </c>
      <c r="AV464" s="5">
        <v>3.1433049</v>
      </c>
      <c r="AW464" s="5">
        <v>6.142761</v>
      </c>
      <c r="AX464" s="5">
        <v>6.0183336</v>
      </c>
      <c r="AY464" s="5">
        <v>6.2915034</v>
      </c>
      <c r="AZ464" s="5">
        <v>7.0224142</v>
      </c>
      <c r="BA464" s="5">
        <v>7.5456144</v>
      </c>
      <c r="BB464" s="5">
        <v>9.1902359</v>
      </c>
      <c r="BC464" s="5">
        <v>7.6989432</v>
      </c>
      <c r="BD464" s="5">
        <v>9.14626</v>
      </c>
      <c r="BE464" s="5">
        <v>8.220912</v>
      </c>
      <c r="BF464" s="5">
        <v>8.2884452</v>
      </c>
      <c r="BG464" s="5">
        <v>5.5105358</v>
      </c>
      <c r="BH464" s="5">
        <v>6.1305916</v>
      </c>
      <c r="BI464" s="5">
        <v>5.2800612</v>
      </c>
      <c r="BJ464" s="5">
        <v>3.3003964</v>
      </c>
      <c r="BK464" s="5">
        <v>0.9026303</v>
      </c>
      <c r="BL464" s="5">
        <v>6.0390892</v>
      </c>
      <c r="BM464" s="5">
        <v>15.152637</v>
      </c>
      <c r="BN464" s="5">
        <v>16.49544</v>
      </c>
      <c r="BO464" s="5">
        <v>19.5505415</v>
      </c>
      <c r="BP464" s="5">
        <v>21.2423883</v>
      </c>
      <c r="BQ464" s="5">
        <v>37.097316</v>
      </c>
      <c r="BR464" s="5">
        <v>37.601175</v>
      </c>
    </row>
    <row r="465" ht="15.75" customHeight="1">
      <c r="A465" s="4" t="str">
        <f t="shared" si="1"/>
        <v>Liabilities|Portfolio investment, Debt securities, Long-term, Positions, Derived using counterparty information|Latvia, Republic of|Half-yearly, semester</v>
      </c>
      <c r="B465" s="4" t="s">
        <v>72</v>
      </c>
      <c r="C465" s="4" t="s">
        <v>802</v>
      </c>
      <c r="D465" s="4" t="s">
        <v>74</v>
      </c>
      <c r="E465" s="4" t="s">
        <v>75</v>
      </c>
      <c r="F465" s="4" t="s">
        <v>76</v>
      </c>
      <c r="G465" s="4" t="s">
        <v>549</v>
      </c>
      <c r="H465" s="4" t="s">
        <v>78</v>
      </c>
      <c r="I465" s="4" t="s">
        <v>78</v>
      </c>
      <c r="J465" s="4" t="s">
        <v>544</v>
      </c>
      <c r="K465" s="4" t="s">
        <v>80</v>
      </c>
      <c r="L465" s="4" t="s">
        <v>81</v>
      </c>
      <c r="AF465" s="5">
        <v>0.0</v>
      </c>
      <c r="AJ465" s="5">
        <v>2.7834</v>
      </c>
      <c r="AL465" s="5">
        <v>1.4406</v>
      </c>
      <c r="AP465" s="5">
        <v>5.1756</v>
      </c>
      <c r="AR465" s="5">
        <v>0.0</v>
      </c>
      <c r="AS465" s="5">
        <v>0.0</v>
      </c>
      <c r="AT465" s="5">
        <v>0.0</v>
      </c>
      <c r="AU465" s="5">
        <v>0.0</v>
      </c>
      <c r="AV465" s="5">
        <v>0.0</v>
      </c>
      <c r="AW465" s="5">
        <v>0.0</v>
      </c>
      <c r="AX465" s="5">
        <v>1.0887</v>
      </c>
      <c r="AY465" s="5">
        <v>2.2204</v>
      </c>
      <c r="AZ465" s="5">
        <v>3.1623</v>
      </c>
      <c r="BA465" s="5">
        <v>1.1412</v>
      </c>
      <c r="BB465" s="5">
        <v>1.1993</v>
      </c>
      <c r="BC465" s="5">
        <v>1.1658</v>
      </c>
      <c r="BD465" s="5">
        <v>0.0</v>
      </c>
      <c r="BE465" s="5">
        <v>1.138</v>
      </c>
      <c r="BF465" s="5">
        <v>1.1234</v>
      </c>
      <c r="BG465" s="5">
        <v>1.1198</v>
      </c>
      <c r="BH465" s="5">
        <v>0.0</v>
      </c>
      <c r="BI465" s="5">
        <v>0.0</v>
      </c>
      <c r="BJ465" s="5">
        <v>0.0</v>
      </c>
      <c r="BK465" s="5">
        <v>0.0</v>
      </c>
      <c r="BL465" s="5">
        <v>0.0</v>
      </c>
      <c r="BM465" s="5">
        <v>1.0866</v>
      </c>
      <c r="BN465" s="5">
        <v>1.105</v>
      </c>
      <c r="BO465" s="5">
        <v>1.0705</v>
      </c>
      <c r="BP465" s="5">
        <v>1.0389</v>
      </c>
      <c r="BQ465" s="5">
        <v>1.172</v>
      </c>
      <c r="BR465" s="5">
        <v>1.175</v>
      </c>
    </row>
    <row r="466" ht="15.75" customHeight="1">
      <c r="A466" s="4" t="str">
        <f t="shared" si="1"/>
        <v>Liabilities|Portfolio investment, Debt securities, Positions, Derived using counterparty information|France|Half-yearly, semester</v>
      </c>
      <c r="B466" s="4" t="s">
        <v>72</v>
      </c>
      <c r="C466" s="4" t="s">
        <v>803</v>
      </c>
      <c r="D466" s="4" t="s">
        <v>74</v>
      </c>
      <c r="E466" s="4" t="s">
        <v>75</v>
      </c>
      <c r="F466" s="4" t="s">
        <v>76</v>
      </c>
      <c r="G466" s="4" t="s">
        <v>571</v>
      </c>
      <c r="H466" s="4" t="s">
        <v>78</v>
      </c>
      <c r="I466" s="4" t="s">
        <v>78</v>
      </c>
      <c r="J466" s="4" t="s">
        <v>610</v>
      </c>
      <c r="K466" s="4" t="s">
        <v>80</v>
      </c>
      <c r="L466" s="4" t="s">
        <v>81</v>
      </c>
      <c r="N466" s="5">
        <v>107.045640520365</v>
      </c>
      <c r="V466" s="5">
        <v>699.7522</v>
      </c>
      <c r="X466" s="5">
        <v>364.2711885</v>
      </c>
      <c r="Z466" s="5">
        <v>395.827989</v>
      </c>
      <c r="AB466" s="5">
        <v>2594.2093486</v>
      </c>
      <c r="AD466" s="5">
        <v>467.7074011</v>
      </c>
      <c r="AF466" s="5">
        <v>278.316342</v>
      </c>
      <c r="AH466" s="5">
        <v>392.0982513</v>
      </c>
      <c r="AJ466" s="5">
        <v>113.674056</v>
      </c>
      <c r="AL466" s="5">
        <v>136.2490668</v>
      </c>
      <c r="AN466" s="5">
        <v>584.032977</v>
      </c>
      <c r="AP466" s="5">
        <v>817.240179</v>
      </c>
      <c r="AR466" s="5">
        <v>700.086834</v>
      </c>
      <c r="AS466" s="5">
        <v>1251.838404</v>
      </c>
      <c r="AT466" s="5">
        <v>1401.9406542</v>
      </c>
      <c r="AU466" s="5">
        <v>1319.6100098</v>
      </c>
      <c r="AV466" s="5">
        <v>1229.1572682</v>
      </c>
      <c r="AW466" s="5">
        <v>1066.6070896</v>
      </c>
      <c r="AX466" s="5">
        <v>1384.3974522</v>
      </c>
      <c r="AY466" s="5">
        <v>614.451292</v>
      </c>
      <c r="AZ466" s="5">
        <v>401.1261599</v>
      </c>
      <c r="BA466" s="5">
        <v>583.4236644</v>
      </c>
      <c r="BB466" s="5">
        <v>497.2309793</v>
      </c>
      <c r="BC466" s="5">
        <v>973.7216262</v>
      </c>
      <c r="BD466" s="5">
        <v>284.577155</v>
      </c>
      <c r="BE466" s="5">
        <v>319.898628</v>
      </c>
      <c r="BF466" s="5">
        <v>993.8337844</v>
      </c>
      <c r="BG466" s="5">
        <v>1101.2079606</v>
      </c>
      <c r="BH466" s="5">
        <v>1877.3108396</v>
      </c>
      <c r="BI466" s="5">
        <v>1897.3067448</v>
      </c>
      <c r="BJ466" s="5">
        <v>1468.0965068</v>
      </c>
      <c r="BK466" s="5">
        <v>1868.9765354</v>
      </c>
      <c r="BL466" s="5">
        <v>2322.505501</v>
      </c>
      <c r="BM466" s="5">
        <v>2357.1548604</v>
      </c>
      <c r="BN466" s="5">
        <v>3173.2285</v>
      </c>
      <c r="BO466" s="5">
        <v>3183.444336</v>
      </c>
      <c r="BP466" s="5">
        <v>2721.0879189</v>
      </c>
      <c r="BQ466" s="5">
        <v>3530.221048</v>
      </c>
      <c r="BR466" s="5">
        <v>3172.653925</v>
      </c>
    </row>
    <row r="467" ht="15.75" customHeight="1">
      <c r="A467" s="4" t="str">
        <f t="shared" si="1"/>
        <v>Liabilities|Portfolio investment, Debt securities, Positions, Derived using counterparty information|World|Half-yearly, semester</v>
      </c>
      <c r="B467" s="4" t="s">
        <v>72</v>
      </c>
      <c r="C467" s="4" t="s">
        <v>804</v>
      </c>
      <c r="D467" s="4" t="s">
        <v>74</v>
      </c>
      <c r="E467" s="4" t="s">
        <v>75</v>
      </c>
      <c r="F467" s="4" t="s">
        <v>76</v>
      </c>
      <c r="G467" s="4" t="s">
        <v>571</v>
      </c>
      <c r="H467" s="4" t="s">
        <v>78</v>
      </c>
      <c r="I467" s="4" t="s">
        <v>78</v>
      </c>
      <c r="J467" s="4" t="s">
        <v>591</v>
      </c>
      <c r="K467" s="4" t="s">
        <v>80</v>
      </c>
      <c r="L467" s="4" t="s">
        <v>81</v>
      </c>
      <c r="N467" s="5">
        <v>10221.9076254294</v>
      </c>
      <c r="V467" s="5">
        <v>13276.2049321227</v>
      </c>
      <c r="X467" s="5">
        <v>12072.6721537374</v>
      </c>
      <c r="Z467" s="5">
        <v>14522.909737324</v>
      </c>
      <c r="AB467" s="5">
        <v>25960.022915991</v>
      </c>
      <c r="AD467" s="5">
        <v>21968.2713719306</v>
      </c>
      <c r="AF467" s="5">
        <v>23535.9938728581</v>
      </c>
      <c r="AH467" s="5">
        <v>25443.9832362262</v>
      </c>
      <c r="AJ467" s="5">
        <v>27376.7504418378</v>
      </c>
      <c r="AK467" s="5">
        <v>3235.2726</v>
      </c>
      <c r="AL467" s="5">
        <v>32745.8158640762</v>
      </c>
      <c r="AM467" s="5">
        <v>2218.5968</v>
      </c>
      <c r="AN467" s="5">
        <v>35185.2946583493</v>
      </c>
      <c r="AO467" s="5">
        <v>2436.7758</v>
      </c>
      <c r="AP467" s="5">
        <v>40522.2882475854</v>
      </c>
      <c r="AQ467" s="5">
        <v>2315.301</v>
      </c>
      <c r="AR467" s="5">
        <v>41706.8982072185</v>
      </c>
      <c r="AS467" s="5">
        <v>35597.8931399885</v>
      </c>
      <c r="AT467" s="5">
        <v>41395.2030337949</v>
      </c>
      <c r="AU467" s="5">
        <v>41525.1515029485</v>
      </c>
      <c r="AV467" s="5">
        <v>47485.6454971927</v>
      </c>
      <c r="AW467" s="5">
        <v>39789.369806392</v>
      </c>
      <c r="AX467" s="5">
        <v>46408.7508075743</v>
      </c>
      <c r="AY467" s="5">
        <v>40519.3749002155</v>
      </c>
      <c r="AZ467" s="5">
        <v>46892.6907322984</v>
      </c>
      <c r="BA467" s="5">
        <v>46590.2644728158</v>
      </c>
      <c r="BB467" s="5">
        <v>48229.9688621064</v>
      </c>
      <c r="BC467" s="5">
        <v>43724.8349198976</v>
      </c>
      <c r="BD467" s="5">
        <v>50488.6494521964</v>
      </c>
      <c r="BE467" s="5">
        <v>44678.6890250721</v>
      </c>
      <c r="BF467" s="5">
        <v>60509.1580214573</v>
      </c>
      <c r="BG467" s="5">
        <v>46565.8977622774</v>
      </c>
      <c r="BH467" s="5">
        <v>67390.9017811048</v>
      </c>
      <c r="BI467" s="5">
        <v>53490.0966374043</v>
      </c>
      <c r="BJ467" s="5">
        <v>69883.4587751548</v>
      </c>
      <c r="BK467" s="5">
        <v>53572.5620626152</v>
      </c>
      <c r="BL467" s="5">
        <v>67504.4599832678</v>
      </c>
      <c r="BM467" s="5">
        <v>58558.3742491693</v>
      </c>
      <c r="BN467" s="5">
        <v>80156.8172053107</v>
      </c>
      <c r="BO467" s="5">
        <v>66753.0011921961</v>
      </c>
      <c r="BP467" s="5">
        <v>80816.1320176295</v>
      </c>
      <c r="BQ467" s="5">
        <v>69083.8559192495</v>
      </c>
      <c r="BR467" s="5">
        <v>89752.6144919736</v>
      </c>
    </row>
    <row r="468" ht="15.75" customHeight="1">
      <c r="A468" s="4" t="str">
        <f t="shared" si="1"/>
        <v>Liabilities|Portfolio investment, Debt securities, Positions, Derived using counterparty information|United States|Half-yearly, semester</v>
      </c>
      <c r="B468" s="4" t="s">
        <v>72</v>
      </c>
      <c r="C468" s="4" t="s">
        <v>805</v>
      </c>
      <c r="D468" s="4" t="s">
        <v>74</v>
      </c>
      <c r="E468" s="4" t="s">
        <v>75</v>
      </c>
      <c r="F468" s="4" t="s">
        <v>76</v>
      </c>
      <c r="G468" s="4" t="s">
        <v>571</v>
      </c>
      <c r="H468" s="4" t="s">
        <v>78</v>
      </c>
      <c r="I468" s="4" t="s">
        <v>78</v>
      </c>
      <c r="J468" s="4" t="s">
        <v>676</v>
      </c>
      <c r="K468" s="4" t="s">
        <v>80</v>
      </c>
      <c r="L468" s="4" t="s">
        <v>81</v>
      </c>
      <c r="N468" s="5">
        <v>3469.0</v>
      </c>
      <c r="V468" s="5">
        <v>2125.16854668067</v>
      </c>
      <c r="X468" s="5">
        <v>3471.34191857006</v>
      </c>
      <c r="Z468" s="5">
        <v>6697.0</v>
      </c>
      <c r="AB468" s="5">
        <v>7313.725834</v>
      </c>
      <c r="AD468" s="5">
        <v>7302.0</v>
      </c>
      <c r="AF468" s="5">
        <v>6701.0</v>
      </c>
      <c r="AH468" s="5">
        <v>5858.0</v>
      </c>
      <c r="AJ468" s="5">
        <v>10531.0</v>
      </c>
      <c r="AL468" s="5">
        <v>12933.0</v>
      </c>
      <c r="AN468" s="5">
        <v>14196.0</v>
      </c>
      <c r="AP468" s="5">
        <v>15274.0</v>
      </c>
      <c r="AR468" s="5">
        <v>14097.0</v>
      </c>
      <c r="AS468" s="5">
        <v>12614.057</v>
      </c>
      <c r="AT468" s="5">
        <v>12699.8</v>
      </c>
      <c r="AU468" s="5">
        <v>14994.2</v>
      </c>
      <c r="AV468" s="5">
        <v>15982.0</v>
      </c>
      <c r="AW468" s="5">
        <v>12815.0</v>
      </c>
      <c r="AX468" s="5">
        <v>13516.0</v>
      </c>
      <c r="AY468" s="5">
        <v>13795.0</v>
      </c>
      <c r="AZ468" s="5">
        <v>12447.0</v>
      </c>
      <c r="BA468" s="5">
        <v>12671.0</v>
      </c>
      <c r="BB468" s="5">
        <v>10842.0</v>
      </c>
      <c r="BC468" s="5">
        <v>12433.0</v>
      </c>
      <c r="BD468" s="5">
        <v>13201.0</v>
      </c>
      <c r="BE468" s="5">
        <v>13070.0</v>
      </c>
      <c r="BF468" s="5">
        <v>15501.0</v>
      </c>
      <c r="BG468" s="5">
        <v>13142.0</v>
      </c>
      <c r="BH468" s="5">
        <v>14999.0</v>
      </c>
      <c r="BI468" s="5">
        <v>15637.0</v>
      </c>
      <c r="BJ468" s="5">
        <v>17482.0</v>
      </c>
      <c r="BK468" s="5">
        <v>15005.0</v>
      </c>
      <c r="BL468" s="5">
        <v>17308.0</v>
      </c>
      <c r="BM468" s="5">
        <v>13842.0</v>
      </c>
      <c r="BN468" s="5">
        <v>14709.0</v>
      </c>
      <c r="BO468" s="5">
        <v>13944.0</v>
      </c>
      <c r="BP468" s="5">
        <v>14121.0</v>
      </c>
      <c r="BQ468" s="5">
        <v>15222.0</v>
      </c>
      <c r="BR468" s="5">
        <v>17327.0</v>
      </c>
    </row>
    <row r="469" ht="15.75" customHeight="1">
      <c r="A469" s="4" t="str">
        <f t="shared" si="1"/>
        <v>Liabilities|Portfolio investment, Debt securities, Long-term, Positions, Derived using counterparty information|Argentina|Half-yearly, semester</v>
      </c>
      <c r="B469" s="4" t="s">
        <v>72</v>
      </c>
      <c r="C469" s="4" t="s">
        <v>807</v>
      </c>
      <c r="D469" s="4" t="s">
        <v>74</v>
      </c>
      <c r="E469" s="4" t="s">
        <v>75</v>
      </c>
      <c r="F469" s="4" t="s">
        <v>76</v>
      </c>
      <c r="G469" s="4" t="s">
        <v>549</v>
      </c>
      <c r="H469" s="4" t="s">
        <v>78</v>
      </c>
      <c r="I469" s="4" t="s">
        <v>78</v>
      </c>
      <c r="J469" s="4" t="s">
        <v>212</v>
      </c>
      <c r="K469" s="4" t="s">
        <v>80</v>
      </c>
      <c r="L469" s="4" t="s">
        <v>81</v>
      </c>
      <c r="N469" s="5">
        <v>0.0</v>
      </c>
      <c r="V469" s="5">
        <v>0.0</v>
      </c>
      <c r="X469" s="5">
        <v>0.0</v>
      </c>
      <c r="Z469" s="5">
        <v>0.0</v>
      </c>
      <c r="AB469" s="5">
        <v>0.0</v>
      </c>
      <c r="AD469" s="5">
        <v>0.0</v>
      </c>
      <c r="AF469" s="5">
        <v>0.0</v>
      </c>
      <c r="AH469" s="5">
        <v>0.972088526685842</v>
      </c>
      <c r="AJ469" s="5">
        <v>0.0</v>
      </c>
      <c r="AL469" s="5">
        <v>0.0</v>
      </c>
      <c r="AN469" s="5">
        <v>0.0</v>
      </c>
      <c r="AP469" s="5">
        <v>0.0</v>
      </c>
      <c r="AR469" s="5">
        <v>0.0</v>
      </c>
      <c r="AS469" s="5">
        <v>0.0</v>
      </c>
      <c r="AT469" s="5">
        <v>0.0</v>
      </c>
      <c r="AU469" s="5">
        <v>0.0</v>
      </c>
      <c r="AV469" s="5">
        <v>0.0</v>
      </c>
      <c r="AW469" s="5">
        <v>0.0</v>
      </c>
      <c r="AX469" s="5">
        <v>0.0</v>
      </c>
      <c r="AY469" s="5">
        <v>0.0</v>
      </c>
      <c r="AZ469" s="5">
        <v>0.0</v>
      </c>
      <c r="BA469" s="5">
        <v>0.0</v>
      </c>
      <c r="BB469" s="5">
        <v>0.0</v>
      </c>
      <c r="BC469" s="5">
        <v>0.0</v>
      </c>
      <c r="BD469" s="5">
        <v>0.0</v>
      </c>
      <c r="BE469" s="5">
        <v>0.0</v>
      </c>
      <c r="BF469" s="5">
        <v>0.0</v>
      </c>
      <c r="BG469" s="5">
        <v>0.0</v>
      </c>
      <c r="BH469" s="5">
        <v>0.0</v>
      </c>
      <c r="BI469" s="5">
        <v>0.0</v>
      </c>
      <c r="BJ469" s="5">
        <v>0.0</v>
      </c>
      <c r="BK469" s="5">
        <v>0.0</v>
      </c>
      <c r="BL469" s="5">
        <v>0.0</v>
      </c>
      <c r="BM469" s="5">
        <v>0.0</v>
      </c>
      <c r="BN469" s="5">
        <v>0.0</v>
      </c>
      <c r="BO469" s="5">
        <v>0.0</v>
      </c>
      <c r="BP469" s="5">
        <v>0.0</v>
      </c>
      <c r="BQ469" s="5">
        <v>0.0</v>
      </c>
      <c r="BR469" s="5">
        <v>0.0</v>
      </c>
    </row>
    <row r="470" ht="15.75" customHeight="1">
      <c r="A470" s="4" t="str">
        <f t="shared" si="1"/>
        <v>Liabilities|Portfolio investment, Debt securities, Positions, Derived using counterparty information|Bulgaria|Half-yearly, semester</v>
      </c>
      <c r="B470" s="4" t="s">
        <v>72</v>
      </c>
      <c r="C470" s="4" t="s">
        <v>808</v>
      </c>
      <c r="D470" s="4" t="s">
        <v>74</v>
      </c>
      <c r="E470" s="4" t="s">
        <v>75</v>
      </c>
      <c r="F470" s="4" t="s">
        <v>76</v>
      </c>
      <c r="G470" s="4" t="s">
        <v>571</v>
      </c>
      <c r="H470" s="4" t="s">
        <v>78</v>
      </c>
      <c r="I470" s="4" t="s">
        <v>78</v>
      </c>
      <c r="J470" s="4" t="s">
        <v>103</v>
      </c>
      <c r="K470" s="4" t="s">
        <v>80</v>
      </c>
      <c r="L470" s="4" t="s">
        <v>81</v>
      </c>
      <c r="AB470" s="5">
        <v>0.0</v>
      </c>
      <c r="AD470" s="5">
        <v>0.356305958038965</v>
      </c>
      <c r="AF470" s="5">
        <v>0.0</v>
      </c>
      <c r="AH470" s="5">
        <v>0.0</v>
      </c>
      <c r="AJ470" s="5">
        <v>0.0</v>
      </c>
      <c r="AL470" s="5">
        <v>0.0</v>
      </c>
      <c r="AN470" s="5">
        <v>0.0</v>
      </c>
      <c r="AP470" s="5">
        <v>0.0</v>
      </c>
      <c r="AR470" s="5">
        <v>0.0</v>
      </c>
      <c r="AS470" s="5">
        <v>0.0</v>
      </c>
      <c r="AT470" s="5">
        <v>0.0</v>
      </c>
      <c r="AU470" s="5">
        <v>0.0</v>
      </c>
      <c r="AV470" s="5">
        <v>0.0</v>
      </c>
      <c r="AW470" s="5">
        <v>0.0</v>
      </c>
      <c r="AX470" s="5">
        <v>0.0</v>
      </c>
      <c r="AY470" s="5">
        <v>0.0</v>
      </c>
      <c r="AZ470" s="5">
        <v>0.0</v>
      </c>
      <c r="BA470" s="5">
        <v>0.0</v>
      </c>
      <c r="BB470" s="5">
        <v>0.0</v>
      </c>
      <c r="BC470" s="5">
        <v>0.0</v>
      </c>
      <c r="BD470" s="5">
        <v>0.0</v>
      </c>
      <c r="BE470" s="5">
        <v>0.0</v>
      </c>
      <c r="BF470" s="5">
        <v>0.0</v>
      </c>
      <c r="BG470" s="5">
        <v>0.0</v>
      </c>
      <c r="BH470" s="5">
        <v>0.0</v>
      </c>
      <c r="BI470" s="5">
        <v>0.0</v>
      </c>
      <c r="BJ470" s="5">
        <v>0.0</v>
      </c>
      <c r="BK470" s="5">
        <v>0.00820207085803048</v>
      </c>
      <c r="BL470" s="5">
        <v>0.00833533901945798</v>
      </c>
      <c r="BM470" s="5">
        <v>0.00822414935939217</v>
      </c>
      <c r="BN470" s="5">
        <v>0.00872829013542068</v>
      </c>
      <c r="BO470" s="5">
        <v>0.10336245900823</v>
      </c>
      <c r="BP470" s="5">
        <v>0.102625777001316</v>
      </c>
      <c r="BQ470" s="5">
        <v>0.117391471943697</v>
      </c>
      <c r="BR470" s="5">
        <v>0.0</v>
      </c>
    </row>
    <row r="471" ht="15.75" customHeight="1">
      <c r="A471" s="4" t="str">
        <f t="shared" si="1"/>
        <v>Liabilities|Portfolio investment, Debt securities, Positions, Derived using counterparty information|Brazil|Half-yearly, semester</v>
      </c>
      <c r="B471" s="4" t="s">
        <v>72</v>
      </c>
      <c r="C471" s="4" t="s">
        <v>809</v>
      </c>
      <c r="D471" s="4" t="s">
        <v>74</v>
      </c>
      <c r="E471" s="4" t="s">
        <v>75</v>
      </c>
      <c r="F471" s="4" t="s">
        <v>76</v>
      </c>
      <c r="G471" s="4" t="s">
        <v>571</v>
      </c>
      <c r="H471" s="4" t="s">
        <v>78</v>
      </c>
      <c r="I471" s="4" t="s">
        <v>78</v>
      </c>
      <c r="J471" s="4" t="s">
        <v>217</v>
      </c>
      <c r="K471" s="4" t="s">
        <v>80</v>
      </c>
      <c r="L471" s="4" t="s">
        <v>81</v>
      </c>
      <c r="AD471" s="5">
        <v>0.12196778</v>
      </c>
      <c r="AF471" s="5">
        <v>0.04173554</v>
      </c>
      <c r="AH471" s="5">
        <v>0.0485</v>
      </c>
      <c r="AJ471" s="5">
        <v>0.17987155</v>
      </c>
      <c r="AN471" s="5">
        <v>0.20034688</v>
      </c>
      <c r="AP471" s="5">
        <v>0.28697182</v>
      </c>
      <c r="AR471" s="5">
        <v>0.07827331</v>
      </c>
      <c r="AS471" s="5">
        <v>0.07827331</v>
      </c>
      <c r="AT471" s="5">
        <v>0.43155455</v>
      </c>
      <c r="AU471" s="5">
        <v>0.43155455</v>
      </c>
      <c r="AV471" s="5">
        <v>0.96913256</v>
      </c>
      <c r="AW471" s="5">
        <v>0.97048256</v>
      </c>
      <c r="AX471" s="5">
        <v>0.93545357</v>
      </c>
      <c r="AY471" s="5">
        <v>0.94772357</v>
      </c>
      <c r="AZ471" s="5">
        <v>1.40582285</v>
      </c>
      <c r="BA471" s="5">
        <v>1.40582285</v>
      </c>
      <c r="BB471" s="5">
        <v>0.82913688</v>
      </c>
      <c r="BC471" s="5">
        <v>0.8128108</v>
      </c>
      <c r="BD471" s="5">
        <v>0.81403884</v>
      </c>
      <c r="BE471" s="5">
        <v>0.81403884</v>
      </c>
      <c r="BF471" s="5">
        <v>0.85330457</v>
      </c>
      <c r="BG471" s="5">
        <v>0.8374712</v>
      </c>
      <c r="BH471" s="5">
        <v>0.37474764</v>
      </c>
      <c r="BI471" s="5">
        <v>0.36183246</v>
      </c>
      <c r="BJ471" s="5">
        <v>0.356828</v>
      </c>
      <c r="BK471" s="5">
        <v>0.32635178</v>
      </c>
      <c r="BL471" s="5">
        <v>0.33899513</v>
      </c>
      <c r="BM471" s="5">
        <v>0.32735352</v>
      </c>
      <c r="BN471" s="5">
        <v>0.5776064</v>
      </c>
      <c r="BO471" s="5">
        <v>0.56542765</v>
      </c>
      <c r="BP471" s="5">
        <v>0.55833979</v>
      </c>
      <c r="BQ471" s="5">
        <v>0.58695326</v>
      </c>
      <c r="BR471" s="5">
        <v>0.78273474</v>
      </c>
    </row>
    <row r="472" ht="15.75" customHeight="1">
      <c r="A472" s="4" t="str">
        <f t="shared" si="1"/>
        <v>Liabilities|Portfolio investment, Debt securities, Positions, Derived using counterparty information|Türkiye, Republic of|Half-yearly, semester</v>
      </c>
      <c r="B472" s="4" t="s">
        <v>72</v>
      </c>
      <c r="C472" s="4" t="s">
        <v>810</v>
      </c>
      <c r="D472" s="4" t="s">
        <v>74</v>
      </c>
      <c r="E472" s="4" t="s">
        <v>75</v>
      </c>
      <c r="F472" s="4" t="s">
        <v>76</v>
      </c>
      <c r="G472" s="4" t="s">
        <v>571</v>
      </c>
      <c r="H472" s="4" t="s">
        <v>78</v>
      </c>
      <c r="I472" s="4" t="s">
        <v>78</v>
      </c>
      <c r="J472" s="4" t="s">
        <v>157</v>
      </c>
      <c r="K472" s="4" t="s">
        <v>80</v>
      </c>
      <c r="L472" s="4" t="s">
        <v>81</v>
      </c>
      <c r="AL472" s="5">
        <v>0.0</v>
      </c>
      <c r="AN472" s="5">
        <v>0.0</v>
      </c>
      <c r="AP472" s="5">
        <v>0.0</v>
      </c>
      <c r="AR472" s="5">
        <v>0.0</v>
      </c>
      <c r="AS472" s="5">
        <v>0.0</v>
      </c>
      <c r="AT472" s="5">
        <v>0.0</v>
      </c>
      <c r="AU472" s="5">
        <v>0.0</v>
      </c>
      <c r="AV472" s="5">
        <v>0.0</v>
      </c>
      <c r="AW472" s="5">
        <v>0.0</v>
      </c>
      <c r="AX472" s="5">
        <v>0.0</v>
      </c>
      <c r="AY472" s="5">
        <v>0.0</v>
      </c>
      <c r="AZ472" s="5">
        <v>0.0</v>
      </c>
      <c r="BA472" s="5">
        <v>0.0</v>
      </c>
      <c r="BB472" s="5">
        <v>0.0</v>
      </c>
      <c r="BC472" s="5">
        <v>0.0</v>
      </c>
      <c r="BD472" s="5">
        <v>0.0</v>
      </c>
      <c r="BE472" s="5">
        <v>0.0</v>
      </c>
      <c r="BF472" s="5">
        <v>0.0</v>
      </c>
      <c r="BG472" s="5">
        <v>0.0</v>
      </c>
      <c r="BH472" s="5">
        <v>0.0</v>
      </c>
      <c r="BI472" s="5">
        <v>0.0</v>
      </c>
      <c r="BJ472" s="5">
        <v>0.0</v>
      </c>
      <c r="BK472" s="5">
        <v>0.0</v>
      </c>
      <c r="BL472" s="5">
        <v>0.0</v>
      </c>
      <c r="BM472" s="5">
        <v>0.0</v>
      </c>
      <c r="BN472" s="5">
        <v>0.0</v>
      </c>
      <c r="BO472" s="5">
        <v>0.0</v>
      </c>
      <c r="BP472" s="5">
        <v>0.0</v>
      </c>
      <c r="BQ472" s="5">
        <v>0.0</v>
      </c>
      <c r="BR472" s="5">
        <v>0.0</v>
      </c>
    </row>
    <row r="473" ht="15.75" customHeight="1">
      <c r="A473" s="4" t="str">
        <f t="shared" si="1"/>
        <v>Liabilities|Portfolio investment, Debt securities, Positions, Derived using counterparty information|Korea, Republic of|Half-yearly, semester</v>
      </c>
      <c r="B473" s="4" t="s">
        <v>72</v>
      </c>
      <c r="C473" s="4" t="s">
        <v>811</v>
      </c>
      <c r="D473" s="4" t="s">
        <v>74</v>
      </c>
      <c r="E473" s="4" t="s">
        <v>75</v>
      </c>
      <c r="F473" s="4" t="s">
        <v>76</v>
      </c>
      <c r="G473" s="4" t="s">
        <v>571</v>
      </c>
      <c r="H473" s="4" t="s">
        <v>78</v>
      </c>
      <c r="I473" s="4" t="s">
        <v>78</v>
      </c>
      <c r="J473" s="4" t="s">
        <v>633</v>
      </c>
      <c r="K473" s="4" t="s">
        <v>80</v>
      </c>
      <c r="L473" s="4" t="s">
        <v>81</v>
      </c>
      <c r="N473" s="5">
        <v>0.0</v>
      </c>
      <c r="V473" s="5">
        <v>0.0</v>
      </c>
      <c r="X473" s="5">
        <v>0.0</v>
      </c>
      <c r="Z473" s="5">
        <v>0.0</v>
      </c>
      <c r="AB473" s="5">
        <v>49.8850942933758</v>
      </c>
      <c r="AD473" s="5">
        <v>8.74687678148485</v>
      </c>
      <c r="AF473" s="5">
        <v>1.308</v>
      </c>
      <c r="AH473" s="5">
        <v>0.215</v>
      </c>
      <c r="AJ473" s="5">
        <v>0.706</v>
      </c>
      <c r="AL473" s="5">
        <v>2.94138216427623</v>
      </c>
      <c r="AN473" s="5">
        <v>3.69440695257964</v>
      </c>
      <c r="AP473" s="5">
        <v>5.03551548042008</v>
      </c>
      <c r="AR473" s="5">
        <v>7.14646140938411</v>
      </c>
      <c r="AS473" s="5">
        <v>1.67277530143638</v>
      </c>
      <c r="AT473" s="5">
        <v>1.06579121022744</v>
      </c>
      <c r="AU473" s="5">
        <v>145.175591712876</v>
      </c>
      <c r="AV473" s="5">
        <v>191.313028936786</v>
      </c>
      <c r="AW473" s="5">
        <v>132.165407619068</v>
      </c>
      <c r="AX473" s="5">
        <v>51.2</v>
      </c>
      <c r="AY473" s="5">
        <v>84.3</v>
      </c>
      <c r="AZ473" s="5">
        <v>133.8</v>
      </c>
      <c r="BA473" s="5">
        <v>119.0</v>
      </c>
      <c r="BB473" s="5">
        <v>138.8</v>
      </c>
      <c r="BC473" s="5">
        <v>155.8</v>
      </c>
      <c r="BD473" s="5">
        <v>134.2</v>
      </c>
      <c r="BE473" s="5">
        <v>183.1</v>
      </c>
      <c r="BF473" s="5">
        <v>238.3</v>
      </c>
      <c r="BG473" s="5">
        <v>220.3</v>
      </c>
      <c r="BH473" s="5">
        <v>265.8</v>
      </c>
      <c r="BI473" s="5">
        <v>179.3</v>
      </c>
      <c r="BJ473" s="5">
        <v>319.8</v>
      </c>
      <c r="BK473" s="5">
        <v>406.7</v>
      </c>
      <c r="BL473" s="5">
        <v>347.3</v>
      </c>
      <c r="BM473" s="5">
        <v>342.5</v>
      </c>
      <c r="BN473" s="5">
        <v>370.2</v>
      </c>
      <c r="BO473" s="5">
        <v>341.4</v>
      </c>
      <c r="BP473" s="5">
        <v>397.4</v>
      </c>
      <c r="BQ473" s="5">
        <v>581.1</v>
      </c>
      <c r="BR473" s="5">
        <v>541.9</v>
      </c>
    </row>
    <row r="474" ht="15.75" customHeight="1">
      <c r="A474" s="4" t="str">
        <f t="shared" si="1"/>
        <v>Liabilities|Portfolio investment, Debt securities, Long-term, Positions, Derived using counterparty information|Estonia, Republic of|Half-yearly, semester</v>
      </c>
      <c r="B474" s="4" t="s">
        <v>72</v>
      </c>
      <c r="C474" s="4" t="s">
        <v>812</v>
      </c>
      <c r="D474" s="4" t="s">
        <v>74</v>
      </c>
      <c r="E474" s="4" t="s">
        <v>75</v>
      </c>
      <c r="F474" s="4" t="s">
        <v>76</v>
      </c>
      <c r="G474" s="4" t="s">
        <v>549</v>
      </c>
      <c r="H474" s="4" t="s">
        <v>78</v>
      </c>
      <c r="I474" s="4" t="s">
        <v>78</v>
      </c>
      <c r="J474" s="4" t="s">
        <v>547</v>
      </c>
      <c r="K474" s="4" t="s">
        <v>80</v>
      </c>
      <c r="L474" s="4" t="s">
        <v>81</v>
      </c>
      <c r="V474" s="5">
        <v>0.0</v>
      </c>
      <c r="X474" s="5">
        <v>0.0</v>
      </c>
      <c r="AS474" s="5">
        <v>0.0</v>
      </c>
      <c r="AT474" s="5">
        <v>0.1473789006</v>
      </c>
      <c r="AU474" s="5">
        <v>0.6572803236</v>
      </c>
      <c r="AV474" s="5">
        <v>0.6347836863</v>
      </c>
      <c r="AW474" s="5">
        <v>0.0135655436</v>
      </c>
      <c r="AX474" s="5">
        <v>1.3040677227</v>
      </c>
      <c r="AZ474" s="5">
        <v>2.7844283402</v>
      </c>
      <c r="BA474" s="5">
        <v>0.8935265052</v>
      </c>
      <c r="BB474" s="5">
        <v>0.9401948329</v>
      </c>
      <c r="BC474" s="5">
        <v>0.586327452</v>
      </c>
      <c r="BE474" s="5">
        <v>1.615357998</v>
      </c>
      <c r="BK474" s="5">
        <v>0.042555539</v>
      </c>
      <c r="BL474" s="5">
        <v>0.8397587118</v>
      </c>
      <c r="BR474" s="5">
        <v>0.6156248</v>
      </c>
    </row>
    <row r="475" ht="15.75" customHeight="1">
      <c r="A475" s="4" t="str">
        <f t="shared" si="1"/>
        <v>Liabilities|Portfolio investment, Debt securities, Long-term, Positions, Derived using counterparty information|Philippines|Half-yearly, semester</v>
      </c>
      <c r="B475" s="4" t="s">
        <v>72</v>
      </c>
      <c r="C475" s="4" t="s">
        <v>813</v>
      </c>
      <c r="D475" s="4" t="s">
        <v>74</v>
      </c>
      <c r="E475" s="4" t="s">
        <v>75</v>
      </c>
      <c r="F475" s="4" t="s">
        <v>76</v>
      </c>
      <c r="G475" s="4" t="s">
        <v>549</v>
      </c>
      <c r="H475" s="4" t="s">
        <v>78</v>
      </c>
      <c r="I475" s="4" t="s">
        <v>78</v>
      </c>
      <c r="J475" s="4" t="s">
        <v>650</v>
      </c>
      <c r="K475" s="4" t="s">
        <v>80</v>
      </c>
      <c r="L475" s="4" t="s">
        <v>81</v>
      </c>
      <c r="AS475" s="5">
        <v>0.078</v>
      </c>
      <c r="AT475" s="5">
        <v>0.082</v>
      </c>
      <c r="BM475" s="5">
        <v>0.2</v>
      </c>
      <c r="BN475" s="5">
        <v>0.40873</v>
      </c>
      <c r="BO475" s="5">
        <v>3.21822</v>
      </c>
      <c r="BP475" s="5">
        <v>3.43173</v>
      </c>
      <c r="BQ475" s="5">
        <v>3.078</v>
      </c>
      <c r="BR475" s="5">
        <v>3.092</v>
      </c>
    </row>
    <row r="476" ht="15.75" customHeight="1">
      <c r="A476" s="4" t="str">
        <f t="shared" si="1"/>
        <v>Liabilities|Portfolio investment, Debt securities, Long-term, Positions, Derived using counterparty information|Türkiye, Republic of|Half-yearly, semester</v>
      </c>
      <c r="B476" s="4" t="s">
        <v>72</v>
      </c>
      <c r="C476" s="4" t="s">
        <v>814</v>
      </c>
      <c r="D476" s="4" t="s">
        <v>74</v>
      </c>
      <c r="E476" s="4" t="s">
        <v>75</v>
      </c>
      <c r="F476" s="4" t="s">
        <v>76</v>
      </c>
      <c r="G476" s="4" t="s">
        <v>549</v>
      </c>
      <c r="H476" s="4" t="s">
        <v>78</v>
      </c>
      <c r="I476" s="4" t="s">
        <v>78</v>
      </c>
      <c r="J476" s="4" t="s">
        <v>157</v>
      </c>
      <c r="K476" s="4" t="s">
        <v>80</v>
      </c>
      <c r="L476" s="4" t="s">
        <v>81</v>
      </c>
      <c r="AL476" s="5">
        <v>0.0</v>
      </c>
      <c r="AN476" s="5">
        <v>0.0</v>
      </c>
      <c r="AP476" s="5">
        <v>0.0</v>
      </c>
      <c r="AR476" s="5">
        <v>0.0</v>
      </c>
      <c r="AS476" s="5">
        <v>0.0</v>
      </c>
      <c r="AT476" s="5">
        <v>0.0</v>
      </c>
      <c r="AU476" s="5">
        <v>0.0</v>
      </c>
      <c r="AV476" s="5">
        <v>0.0</v>
      </c>
      <c r="AW476" s="5">
        <v>0.0</v>
      </c>
      <c r="AX476" s="5">
        <v>0.0</v>
      </c>
      <c r="AY476" s="5">
        <v>0.0</v>
      </c>
      <c r="AZ476" s="5">
        <v>0.0</v>
      </c>
      <c r="BA476" s="5">
        <v>0.0</v>
      </c>
      <c r="BB476" s="5">
        <v>0.0</v>
      </c>
      <c r="BC476" s="5">
        <v>0.0</v>
      </c>
      <c r="BD476" s="5">
        <v>0.0</v>
      </c>
      <c r="BE476" s="5">
        <v>0.0</v>
      </c>
      <c r="BF476" s="5">
        <v>0.0</v>
      </c>
      <c r="BG476" s="5">
        <v>0.0</v>
      </c>
      <c r="BH476" s="5">
        <v>0.0</v>
      </c>
      <c r="BI476" s="5">
        <v>0.0</v>
      </c>
      <c r="BJ476" s="5">
        <v>0.0</v>
      </c>
      <c r="BK476" s="5">
        <v>0.0</v>
      </c>
      <c r="BL476" s="5">
        <v>0.0</v>
      </c>
      <c r="BM476" s="5">
        <v>0.0</v>
      </c>
      <c r="BN476" s="5">
        <v>0.0</v>
      </c>
      <c r="BO476" s="5">
        <v>0.0</v>
      </c>
      <c r="BP476" s="5">
        <v>0.0</v>
      </c>
      <c r="BQ476" s="5">
        <v>0.0</v>
      </c>
      <c r="BR476" s="5">
        <v>0.0</v>
      </c>
    </row>
    <row r="477" ht="15.75" customHeight="1">
      <c r="A477" s="4" t="str">
        <f t="shared" si="1"/>
        <v>Liabilities|Portfolio investment, Debt securities, Long-term, Positions, Derived using counterparty information|United States|Half-yearly, semester</v>
      </c>
      <c r="B477" s="4" t="s">
        <v>72</v>
      </c>
      <c r="C477" s="4" t="s">
        <v>816</v>
      </c>
      <c r="D477" s="4" t="s">
        <v>74</v>
      </c>
      <c r="E477" s="4" t="s">
        <v>75</v>
      </c>
      <c r="F477" s="4" t="s">
        <v>76</v>
      </c>
      <c r="G477" s="4" t="s">
        <v>549</v>
      </c>
      <c r="H477" s="4" t="s">
        <v>78</v>
      </c>
      <c r="I477" s="4" t="s">
        <v>78</v>
      </c>
      <c r="J477" s="4" t="s">
        <v>676</v>
      </c>
      <c r="K477" s="4" t="s">
        <v>80</v>
      </c>
      <c r="L477" s="4" t="s">
        <v>81</v>
      </c>
      <c r="N477" s="5">
        <v>3469.0</v>
      </c>
      <c r="V477" s="5">
        <v>2052.16854668067</v>
      </c>
      <c r="X477" s="5">
        <v>3269.34191857006</v>
      </c>
      <c r="Z477" s="5">
        <v>5045.0</v>
      </c>
      <c r="AB477" s="5">
        <v>5718.861851</v>
      </c>
      <c r="AD477" s="5">
        <v>5238.0</v>
      </c>
      <c r="AF477" s="5">
        <v>4006.0</v>
      </c>
      <c r="AH477" s="5">
        <v>3900.0</v>
      </c>
      <c r="AJ477" s="5">
        <v>6006.0</v>
      </c>
      <c r="AL477" s="5">
        <v>5248.0</v>
      </c>
      <c r="AN477" s="5">
        <v>7453.0</v>
      </c>
      <c r="AP477" s="5">
        <v>11139.0</v>
      </c>
      <c r="AR477" s="5">
        <v>9771.0</v>
      </c>
      <c r="AS477" s="5">
        <v>9803.0</v>
      </c>
      <c r="AT477" s="5">
        <v>8835.9</v>
      </c>
      <c r="AU477" s="5">
        <v>10828.0</v>
      </c>
      <c r="AV477" s="5">
        <v>11083.0</v>
      </c>
      <c r="AW477" s="5">
        <v>10624.0</v>
      </c>
      <c r="AX477" s="5">
        <v>11344.0</v>
      </c>
      <c r="AY477" s="5">
        <v>11198.0</v>
      </c>
      <c r="AZ477" s="5">
        <v>11137.0</v>
      </c>
      <c r="BA477" s="5">
        <v>10931.0</v>
      </c>
      <c r="BB477" s="5">
        <v>10529.0</v>
      </c>
      <c r="BC477" s="5">
        <v>11330.0</v>
      </c>
      <c r="BD477" s="5">
        <v>10964.0</v>
      </c>
      <c r="BE477" s="5">
        <v>10595.0</v>
      </c>
      <c r="BF477" s="5">
        <v>11402.0</v>
      </c>
      <c r="BG477" s="5">
        <v>11274.0</v>
      </c>
      <c r="BH477" s="5">
        <v>10469.0</v>
      </c>
      <c r="BI477" s="5">
        <v>10111.0</v>
      </c>
      <c r="BJ477" s="5">
        <v>12358.0</v>
      </c>
      <c r="BK477" s="5">
        <v>11750.0</v>
      </c>
      <c r="BL477" s="5">
        <v>13051.0</v>
      </c>
      <c r="BM477" s="5">
        <v>12216.0</v>
      </c>
      <c r="BN477" s="5">
        <v>13229.0</v>
      </c>
      <c r="BO477" s="5">
        <v>12255.0</v>
      </c>
      <c r="BP477" s="5">
        <v>12179.0</v>
      </c>
      <c r="BQ477" s="5">
        <v>13028.0</v>
      </c>
      <c r="BR477" s="5">
        <v>14172.0</v>
      </c>
    </row>
    <row r="478" ht="15.75" customHeight="1">
      <c r="A478" s="4" t="str">
        <f t="shared" si="1"/>
        <v>Liabilities|Portfolio investment, Debt securities, Long-term, Positions, Derived using counterparty information|Namibia|Half-yearly, semester</v>
      </c>
      <c r="B478" s="4" t="s">
        <v>72</v>
      </c>
      <c r="C478" s="4" t="s">
        <v>817</v>
      </c>
      <c r="D478" s="4" t="s">
        <v>74</v>
      </c>
      <c r="E478" s="4" t="s">
        <v>75</v>
      </c>
      <c r="F478" s="4" t="s">
        <v>76</v>
      </c>
      <c r="G478" s="4" t="s">
        <v>549</v>
      </c>
      <c r="H478" s="4" t="s">
        <v>78</v>
      </c>
      <c r="I478" s="4" t="s">
        <v>78</v>
      </c>
      <c r="J478" s="4" t="s">
        <v>352</v>
      </c>
      <c r="K478" s="4" t="s">
        <v>80</v>
      </c>
      <c r="L478" s="4" t="s">
        <v>81</v>
      </c>
      <c r="BQ478" s="5">
        <v>0.0</v>
      </c>
      <c r="BR478" s="5">
        <v>0.302333380447734</v>
      </c>
    </row>
    <row r="479" ht="15.75" customHeight="1">
      <c r="A479" s="4" t="str">
        <f t="shared" si="1"/>
        <v>Liabilities|Portfolio investment, Debt securities, Long-term, Positions, Derived using counterparty information|Romania|Half-yearly, semester</v>
      </c>
      <c r="B479" s="4" t="s">
        <v>72</v>
      </c>
      <c r="C479" s="4" t="s">
        <v>818</v>
      </c>
      <c r="D479" s="4" t="s">
        <v>74</v>
      </c>
      <c r="E479" s="4" t="s">
        <v>75</v>
      </c>
      <c r="F479" s="4" t="s">
        <v>76</v>
      </c>
      <c r="G479" s="4" t="s">
        <v>549</v>
      </c>
      <c r="H479" s="4" t="s">
        <v>78</v>
      </c>
      <c r="I479" s="4" t="s">
        <v>78</v>
      </c>
      <c r="J479" s="4" t="s">
        <v>540</v>
      </c>
      <c r="K479" s="4" t="s">
        <v>80</v>
      </c>
      <c r="L479" s="4" t="s">
        <v>81</v>
      </c>
      <c r="AH479" s="5">
        <v>0.0</v>
      </c>
      <c r="BN479" s="5">
        <v>0.0134414852</v>
      </c>
      <c r="BP479" s="5">
        <v>0.017886824412</v>
      </c>
      <c r="BQ479" s="5">
        <v>0.0252543732</v>
      </c>
      <c r="BR479" s="5">
        <v>0.0354832845</v>
      </c>
    </row>
    <row r="480" ht="15.75" customHeight="1">
      <c r="A480" s="4" t="str">
        <f t="shared" si="1"/>
        <v>Liabilities|Portfolio investment, Debt securities, Long-term, Positions, Derived using counterparty information|United Kingdom|Half-yearly, semester</v>
      </c>
      <c r="B480" s="4" t="s">
        <v>72</v>
      </c>
      <c r="C480" s="4" t="s">
        <v>819</v>
      </c>
      <c r="D480" s="4" t="s">
        <v>74</v>
      </c>
      <c r="E480" s="4" t="s">
        <v>75</v>
      </c>
      <c r="F480" s="4" t="s">
        <v>76</v>
      </c>
      <c r="G480" s="4" t="s">
        <v>549</v>
      </c>
      <c r="H480" s="4" t="s">
        <v>78</v>
      </c>
      <c r="I480" s="4" t="s">
        <v>78</v>
      </c>
      <c r="J480" s="4" t="s">
        <v>606</v>
      </c>
      <c r="K480" s="4" t="s">
        <v>80</v>
      </c>
      <c r="L480" s="4" t="s">
        <v>81</v>
      </c>
      <c r="N480" s="5">
        <v>1746.0423488</v>
      </c>
      <c r="V480" s="5">
        <v>1702.7696</v>
      </c>
      <c r="AB480" s="5">
        <v>2110.56128007167</v>
      </c>
      <c r="AD480" s="5">
        <v>980.11090057699</v>
      </c>
      <c r="AF480" s="5">
        <v>2138.07197066113</v>
      </c>
      <c r="AH480" s="5">
        <v>2670.25016478107</v>
      </c>
      <c r="AL480" s="5">
        <v>3688.64776148908</v>
      </c>
      <c r="AN480" s="5">
        <v>5327.86615</v>
      </c>
      <c r="AP480" s="5">
        <v>4124.9948</v>
      </c>
      <c r="AR480" s="5">
        <v>4258.5486</v>
      </c>
      <c r="AS480" s="5">
        <v>4770.80912</v>
      </c>
      <c r="AT480" s="5">
        <v>5889.94488</v>
      </c>
      <c r="AU480" s="5">
        <v>4526.1995</v>
      </c>
      <c r="AV480" s="5">
        <v>4442.0368</v>
      </c>
      <c r="AW480" s="5">
        <v>4360.64474</v>
      </c>
      <c r="AX480" s="5">
        <v>4983.03694</v>
      </c>
      <c r="AY480" s="5">
        <v>5289.18432</v>
      </c>
      <c r="AZ480" s="5">
        <v>3487.617</v>
      </c>
      <c r="BA480" s="5">
        <v>3812.953515</v>
      </c>
      <c r="BB480" s="5">
        <v>3557.03749</v>
      </c>
      <c r="BC480" s="5">
        <v>3603.11369</v>
      </c>
      <c r="BD480" s="5">
        <v>3806.1109</v>
      </c>
      <c r="BE480" s="5">
        <v>3877.426875</v>
      </c>
      <c r="BF480" s="5">
        <v>3928.31467</v>
      </c>
      <c r="BG480" s="5">
        <v>3587.64879</v>
      </c>
      <c r="BH480" s="5">
        <v>4076.8618</v>
      </c>
      <c r="BI480" s="5">
        <v>2936.04477</v>
      </c>
      <c r="BJ480" s="5">
        <v>3051.93612</v>
      </c>
      <c r="BK480" s="5">
        <v>3282.38663</v>
      </c>
      <c r="BL480" s="5">
        <v>1906.86468</v>
      </c>
      <c r="BM480" s="5">
        <v>2487.77215234158</v>
      </c>
      <c r="BN480" s="5">
        <v>2779.14081</v>
      </c>
      <c r="BO480" s="5">
        <v>2790.656998</v>
      </c>
      <c r="BP480" s="5">
        <v>2857.162352</v>
      </c>
      <c r="BQ480" s="5">
        <v>2586.346875</v>
      </c>
      <c r="BR480" s="5">
        <v>2604.312025</v>
      </c>
    </row>
    <row r="481" ht="15.75" customHeight="1">
      <c r="A481" s="4" t="str">
        <f t="shared" si="1"/>
        <v>Liabilities|Portfolio investment, Debt securities, Long-term, Positions, Derived using counterparty information|South Africa|Half-yearly, semester</v>
      </c>
      <c r="B481" s="4" t="s">
        <v>72</v>
      </c>
      <c r="C481" s="4" t="s">
        <v>820</v>
      </c>
      <c r="D481" s="4" t="s">
        <v>74</v>
      </c>
      <c r="E481" s="4" t="s">
        <v>75</v>
      </c>
      <c r="F481" s="4" t="s">
        <v>76</v>
      </c>
      <c r="G481" s="4" t="s">
        <v>549</v>
      </c>
      <c r="H481" s="4" t="s">
        <v>78</v>
      </c>
      <c r="I481" s="4" t="s">
        <v>78</v>
      </c>
      <c r="J481" s="4" t="s">
        <v>644</v>
      </c>
      <c r="K481" s="4" t="s">
        <v>80</v>
      </c>
      <c r="L481" s="4" t="s">
        <v>81</v>
      </c>
      <c r="AF481" s="5">
        <v>1.29124820659971</v>
      </c>
      <c r="AH481" s="5">
        <v>3.08370044052863</v>
      </c>
      <c r="AJ481" s="5">
        <v>0.429876410531972</v>
      </c>
      <c r="AL481" s="5">
        <v>1.0840108401084</v>
      </c>
      <c r="AN481" s="5">
        <v>0.603172688340672</v>
      </c>
      <c r="AR481" s="5">
        <v>6.35208177717132</v>
      </c>
      <c r="AS481" s="5">
        <v>68.489416848793</v>
      </c>
      <c r="AU481" s="5">
        <v>1.88634755953785</v>
      </c>
      <c r="AW481" s="5">
        <v>3.19716681832714</v>
      </c>
      <c r="BD481" s="5">
        <v>0.0695572000000002</v>
      </c>
      <c r="BH481" s="5">
        <v>0.0</v>
      </c>
      <c r="BI481" s="5">
        <v>2.86865930000453</v>
      </c>
      <c r="BJ481" s="5">
        <v>7.73321910000002</v>
      </c>
      <c r="BK481" s="5">
        <v>5.92826169999998</v>
      </c>
      <c r="BL481" s="5">
        <v>5.11959329999999</v>
      </c>
      <c r="BM481" s="5">
        <v>5.06414399999999</v>
      </c>
      <c r="BN481" s="5">
        <v>0.269961499999999</v>
      </c>
      <c r="BO481" s="5">
        <v>1.208735</v>
      </c>
      <c r="BP481" s="5">
        <v>1.06701</v>
      </c>
      <c r="BQ481" s="5">
        <v>1.2373174</v>
      </c>
      <c r="BR481" s="5">
        <v>0.903181499999998</v>
      </c>
    </row>
    <row r="482" ht="15.75" customHeight="1">
      <c r="A482" s="4" t="str">
        <f t="shared" si="1"/>
        <v>Liabilities|Portfolio investment, Debt securities, Long-term, Positions, Derived using counterparty information|Japan|Half-yearly, semester</v>
      </c>
      <c r="B482" s="4" t="s">
        <v>72</v>
      </c>
      <c r="C482" s="4" t="s">
        <v>821</v>
      </c>
      <c r="D482" s="4" t="s">
        <v>74</v>
      </c>
      <c r="E482" s="4" t="s">
        <v>75</v>
      </c>
      <c r="F482" s="4" t="s">
        <v>76</v>
      </c>
      <c r="G482" s="4" t="s">
        <v>549</v>
      </c>
      <c r="H482" s="4" t="s">
        <v>78</v>
      </c>
      <c r="I482" s="4" t="s">
        <v>78</v>
      </c>
      <c r="J482" s="4" t="s">
        <v>654</v>
      </c>
      <c r="K482" s="4" t="s">
        <v>80</v>
      </c>
      <c r="L482" s="4" t="s">
        <v>81</v>
      </c>
      <c r="N482" s="5">
        <v>2477.10657945364</v>
      </c>
      <c r="V482" s="5">
        <v>1691.94253414264</v>
      </c>
      <c r="X482" s="5">
        <v>1258.06848206839</v>
      </c>
      <c r="Z482" s="5">
        <v>1929.74507936508</v>
      </c>
      <c r="AB482" s="5">
        <v>2526.03795620438</v>
      </c>
      <c r="AD482" s="5">
        <v>3743.233601458</v>
      </c>
      <c r="AF482" s="5">
        <v>4366.59832151324</v>
      </c>
      <c r="AH482" s="5">
        <v>4925.16283291994</v>
      </c>
      <c r="AJ482" s="5">
        <v>3845.73002754821</v>
      </c>
      <c r="AL482" s="5">
        <v>4062.56789050619</v>
      </c>
      <c r="AN482" s="5">
        <v>4858.14639327195</v>
      </c>
      <c r="AP482" s="5">
        <v>5746.74404935667</v>
      </c>
      <c r="AR482" s="5">
        <v>6773.33559302138</v>
      </c>
      <c r="AS482" s="5">
        <v>7010.47971945441</v>
      </c>
      <c r="AT482" s="5">
        <v>6350.19126433048</v>
      </c>
      <c r="AU482" s="5">
        <v>7149.03545120303</v>
      </c>
      <c r="AV482" s="5">
        <v>7384.05434648541</v>
      </c>
      <c r="AW482" s="5">
        <v>7510.9653216223</v>
      </c>
      <c r="AX482" s="5">
        <v>7626.02098846473</v>
      </c>
      <c r="AY482" s="5">
        <v>9008.14940398134</v>
      </c>
      <c r="AZ482" s="5">
        <v>8469.37305361301</v>
      </c>
      <c r="BA482" s="5">
        <v>8940.06502038646</v>
      </c>
      <c r="BB482" s="5">
        <v>7565.15271386183</v>
      </c>
      <c r="BC482" s="5">
        <v>7567.86065669183</v>
      </c>
      <c r="BD482" s="5">
        <v>8443.76897807453</v>
      </c>
      <c r="BE482" s="5">
        <v>8631.51648345479</v>
      </c>
      <c r="BF482" s="5">
        <v>8116.37930196114</v>
      </c>
      <c r="BG482" s="5">
        <v>8562.10176282956</v>
      </c>
      <c r="BH482" s="5">
        <v>8955.40093022291</v>
      </c>
      <c r="BI482" s="5">
        <v>7988.84335075113</v>
      </c>
      <c r="BJ482" s="5">
        <v>9361.52974933894</v>
      </c>
      <c r="BK482" s="5">
        <v>8188.19872108615</v>
      </c>
      <c r="BL482" s="5">
        <v>8712.09595422541</v>
      </c>
      <c r="BM482" s="5">
        <v>8464.3358420693</v>
      </c>
      <c r="BN482" s="5">
        <v>9376.56341188077</v>
      </c>
      <c r="BO482" s="5">
        <v>8768.7922766822</v>
      </c>
      <c r="BP482" s="5">
        <v>8501.17549954676</v>
      </c>
      <c r="BQ482" s="5">
        <v>9192.96068711483</v>
      </c>
      <c r="BR482" s="5">
        <v>9617.93238382598</v>
      </c>
    </row>
    <row r="483" ht="15.75" customHeight="1">
      <c r="A483" s="4" t="str">
        <f t="shared" si="1"/>
        <v>Liabilities|Portfolio investment, Debt securities, Long-term, Positions, Derived using counterparty information|Switzerland|Half-yearly, semester</v>
      </c>
      <c r="B483" s="4" t="s">
        <v>72</v>
      </c>
      <c r="C483" s="4" t="s">
        <v>822</v>
      </c>
      <c r="D483" s="4" t="s">
        <v>74</v>
      </c>
      <c r="E483" s="4" t="s">
        <v>75</v>
      </c>
      <c r="F483" s="4" t="s">
        <v>76</v>
      </c>
      <c r="G483" s="4" t="s">
        <v>549</v>
      </c>
      <c r="H483" s="4" t="s">
        <v>78</v>
      </c>
      <c r="I483" s="4" t="s">
        <v>78</v>
      </c>
      <c r="J483" s="4" t="s">
        <v>614</v>
      </c>
      <c r="K483" s="4" t="s">
        <v>80</v>
      </c>
      <c r="L483" s="4" t="s">
        <v>81</v>
      </c>
      <c r="V483" s="5">
        <v>222.628823164113</v>
      </c>
      <c r="X483" s="5">
        <v>218.532823634687</v>
      </c>
      <c r="Z483" s="5">
        <v>310.210973635467</v>
      </c>
      <c r="AB483" s="5">
        <v>529.223128857361</v>
      </c>
      <c r="AD483" s="5">
        <v>603.301466965627</v>
      </c>
      <c r="AF483" s="5">
        <v>886.368360636737</v>
      </c>
      <c r="AH483" s="5">
        <v>820.44660673183</v>
      </c>
      <c r="AJ483" s="5">
        <v>544.384656388373</v>
      </c>
      <c r="AL483" s="5">
        <v>604.633183393564</v>
      </c>
      <c r="AN483" s="5">
        <v>1013.21723099062</v>
      </c>
      <c r="AP483" s="5">
        <v>1021.73503604199</v>
      </c>
      <c r="AR483" s="5">
        <v>1745.71052305203</v>
      </c>
      <c r="AS483" s="5">
        <v>1998.07884628912</v>
      </c>
      <c r="AT483" s="5">
        <v>1918.23772395355</v>
      </c>
      <c r="AU483" s="5">
        <v>2318.33686278166</v>
      </c>
      <c r="AV483" s="5">
        <v>1762.2883600096</v>
      </c>
      <c r="AW483" s="5">
        <v>1659.26700120176</v>
      </c>
      <c r="AX483" s="5">
        <v>1562.77911449734</v>
      </c>
      <c r="AY483" s="5">
        <v>1771.0256578593</v>
      </c>
      <c r="AZ483" s="5">
        <v>1641.91747676397</v>
      </c>
      <c r="BA483" s="5">
        <v>2022.53267528431</v>
      </c>
      <c r="BB483" s="5">
        <v>2134.72775374427</v>
      </c>
      <c r="BC483" s="5">
        <v>2351.19398547585</v>
      </c>
      <c r="BD483" s="5">
        <v>2210.55986474854</v>
      </c>
      <c r="BE483" s="5">
        <v>2271.22766934795</v>
      </c>
      <c r="BF483" s="5">
        <v>2380.99718360521</v>
      </c>
      <c r="BG483" s="5">
        <v>2328.1900834832</v>
      </c>
      <c r="BH483" s="5">
        <v>2522.6976501355</v>
      </c>
      <c r="BI483" s="5">
        <v>2744.88332977591</v>
      </c>
      <c r="BJ483" s="5">
        <v>2932.73416486946</v>
      </c>
      <c r="BK483" s="5">
        <v>2470.48910150619</v>
      </c>
      <c r="BL483" s="5">
        <v>2829.29936619479</v>
      </c>
      <c r="BM483" s="5">
        <v>3049.99208502259</v>
      </c>
      <c r="BN483" s="5">
        <v>3343.99423636186</v>
      </c>
      <c r="BO483" s="5">
        <v>3175.15889783552</v>
      </c>
      <c r="BP483" s="5">
        <v>3142.05456082616</v>
      </c>
      <c r="BQ483" s="5">
        <v>4169.23322456007</v>
      </c>
      <c r="BR483" s="5">
        <v>4371.15831060381</v>
      </c>
    </row>
    <row r="484" ht="15.75" customHeight="1">
      <c r="A484" s="4" t="str">
        <f t="shared" si="1"/>
        <v>Liabilities|Portfolio investment, Debt securities, Long-term, Positions, Derived using counterparty information|Slovak Republic|Half-yearly, semester</v>
      </c>
      <c r="B484" s="4" t="s">
        <v>72</v>
      </c>
      <c r="C484" s="4" t="s">
        <v>824</v>
      </c>
      <c r="D484" s="4" t="s">
        <v>74</v>
      </c>
      <c r="E484" s="4" t="s">
        <v>75</v>
      </c>
      <c r="F484" s="4" t="s">
        <v>76</v>
      </c>
      <c r="G484" s="4" t="s">
        <v>549</v>
      </c>
      <c r="H484" s="4" t="s">
        <v>78</v>
      </c>
      <c r="I484" s="4" t="s">
        <v>78</v>
      </c>
      <c r="J484" s="4" t="s">
        <v>199</v>
      </c>
      <c r="K484" s="4" t="s">
        <v>80</v>
      </c>
      <c r="L484" s="4" t="s">
        <v>81</v>
      </c>
      <c r="AP484" s="5">
        <v>68.05914</v>
      </c>
      <c r="AR484" s="5">
        <v>73.62252</v>
      </c>
      <c r="AS484" s="5">
        <v>133.2852</v>
      </c>
      <c r="AT484" s="5">
        <v>103.57041</v>
      </c>
      <c r="AU484" s="5">
        <v>188.156464300789</v>
      </c>
      <c r="AV484" s="5">
        <v>252.65421</v>
      </c>
      <c r="AW484" s="5">
        <v>115.47048</v>
      </c>
      <c r="AX484" s="5">
        <v>266.360750359049</v>
      </c>
      <c r="AY484" s="5">
        <v>46.40636</v>
      </c>
      <c r="AZ484" s="5">
        <v>46.06417</v>
      </c>
      <c r="BA484" s="5">
        <v>2.2824</v>
      </c>
      <c r="BB484" s="5">
        <v>2.3986</v>
      </c>
      <c r="BC484" s="5">
        <v>5.829</v>
      </c>
      <c r="BD484" s="5">
        <v>22.9</v>
      </c>
      <c r="BE484" s="5">
        <v>18.6632</v>
      </c>
      <c r="BF484" s="5">
        <v>7.97614</v>
      </c>
      <c r="BG484" s="5">
        <v>20.1564</v>
      </c>
      <c r="BH484" s="5">
        <v>22.0878</v>
      </c>
      <c r="BI484" s="5">
        <v>21.3912</v>
      </c>
      <c r="BJ484" s="5">
        <v>20.3868</v>
      </c>
      <c r="BK484" s="5">
        <v>51.935</v>
      </c>
      <c r="BL484" s="5">
        <v>185.5884</v>
      </c>
      <c r="BM484" s="5">
        <v>159.94752</v>
      </c>
      <c r="BN484" s="5">
        <v>169.88080685875</v>
      </c>
      <c r="BO484" s="5">
        <v>163.7865</v>
      </c>
      <c r="BP484" s="5">
        <v>87.2676</v>
      </c>
      <c r="BQ484" s="5">
        <v>138.6476</v>
      </c>
      <c r="BR484" s="5">
        <v>127.37</v>
      </c>
    </row>
    <row r="485" ht="15.75" customHeight="1">
      <c r="A485" s="4" t="str">
        <f t="shared" si="1"/>
        <v>Liabilities|Portfolio investment, Debt securities, Long-term, Positions, Derived using counterparty information|Guernsey|Half-yearly, semester</v>
      </c>
      <c r="B485" s="4" t="s">
        <v>72</v>
      </c>
      <c r="C485" s="4" t="s">
        <v>825</v>
      </c>
      <c r="D485" s="4" t="s">
        <v>74</v>
      </c>
      <c r="E485" s="4" t="s">
        <v>75</v>
      </c>
      <c r="F485" s="4" t="s">
        <v>76</v>
      </c>
      <c r="G485" s="4" t="s">
        <v>549</v>
      </c>
      <c r="H485" s="4" t="s">
        <v>78</v>
      </c>
      <c r="I485" s="4" t="s">
        <v>78</v>
      </c>
      <c r="J485" s="4" t="s">
        <v>612</v>
      </c>
      <c r="K485" s="4" t="s">
        <v>80</v>
      </c>
      <c r="L485" s="4" t="s">
        <v>81</v>
      </c>
      <c r="V485" s="5">
        <v>0.13</v>
      </c>
      <c r="X485" s="5">
        <v>179.033</v>
      </c>
      <c r="Z485" s="5">
        <v>174.104087</v>
      </c>
      <c r="AB485" s="5">
        <v>175.4144681</v>
      </c>
      <c r="AD485" s="5">
        <v>34.715</v>
      </c>
      <c r="AF485" s="5">
        <v>51.77969565</v>
      </c>
      <c r="AH485" s="5">
        <v>40.65052213</v>
      </c>
      <c r="AJ485" s="5">
        <v>37.447</v>
      </c>
      <c r="AL485" s="5">
        <v>130.89808</v>
      </c>
      <c r="AN485" s="5">
        <v>73.37732805</v>
      </c>
      <c r="AP485" s="5">
        <v>44.8282</v>
      </c>
      <c r="AR485" s="5">
        <v>68.4351818824441</v>
      </c>
      <c r="AT485" s="5">
        <v>105.130816111415</v>
      </c>
      <c r="AV485" s="5">
        <v>4.7784358131375</v>
      </c>
      <c r="AX485" s="5">
        <v>21.013</v>
      </c>
      <c r="AZ485" s="5">
        <v>42.4234722221062</v>
      </c>
      <c r="BB485" s="5">
        <v>30.905</v>
      </c>
      <c r="BD485" s="5">
        <v>44.042</v>
      </c>
      <c r="BF485" s="5">
        <v>26.07232254</v>
      </c>
      <c r="BH485" s="5">
        <v>39.22701504</v>
      </c>
      <c r="BJ485" s="5">
        <v>37.6335599985003</v>
      </c>
      <c r="BL485" s="5">
        <v>128.223147162464</v>
      </c>
      <c r="BN485" s="5">
        <v>133.50571287</v>
      </c>
      <c r="BP485" s="5">
        <v>73.9915644879169</v>
      </c>
      <c r="BR485" s="5">
        <v>78.108</v>
      </c>
    </row>
    <row r="486" ht="15.75" customHeight="1">
      <c r="A486" s="4" t="str">
        <f t="shared" si="1"/>
        <v>Liabilities|Portfolio investment, Debt securities, Long-term, Positions, Derived using counterparty information|Belarus, Republic of|Half-yearly, semester</v>
      </c>
      <c r="B486" s="4" t="s">
        <v>72</v>
      </c>
      <c r="C486" s="4" t="s">
        <v>826</v>
      </c>
      <c r="D486" s="4" t="s">
        <v>74</v>
      </c>
      <c r="E486" s="4" t="s">
        <v>75</v>
      </c>
      <c r="F486" s="4" t="s">
        <v>76</v>
      </c>
      <c r="G486" s="4" t="s">
        <v>549</v>
      </c>
      <c r="H486" s="4" t="s">
        <v>78</v>
      </c>
      <c r="I486" s="4" t="s">
        <v>78</v>
      </c>
      <c r="J486" s="4" t="s">
        <v>470</v>
      </c>
      <c r="K486" s="4" t="s">
        <v>80</v>
      </c>
      <c r="L486" s="4" t="s">
        <v>81</v>
      </c>
      <c r="AV486" s="5">
        <v>0.0</v>
      </c>
      <c r="AW486" s="5">
        <v>0.0</v>
      </c>
      <c r="AX486" s="5">
        <v>0.0</v>
      </c>
      <c r="AY486" s="5">
        <v>0.0</v>
      </c>
      <c r="AZ486" s="5">
        <v>0.0</v>
      </c>
      <c r="BA486" s="5">
        <v>0.0</v>
      </c>
      <c r="BB486" s="5">
        <v>0.0</v>
      </c>
      <c r="BC486" s="5">
        <v>0.0</v>
      </c>
      <c r="BD486" s="5">
        <v>0.0</v>
      </c>
      <c r="BE486" s="5">
        <v>0.0</v>
      </c>
      <c r="BF486" s="5">
        <v>0.0</v>
      </c>
      <c r="BG486" s="5">
        <v>0.0</v>
      </c>
      <c r="BH486" s="5">
        <v>0.0</v>
      </c>
      <c r="BI486" s="5">
        <v>0.0</v>
      </c>
      <c r="BJ486" s="5">
        <v>0.0</v>
      </c>
      <c r="BK486" s="5">
        <v>0.0</v>
      </c>
      <c r="BL486" s="5">
        <v>0.0</v>
      </c>
      <c r="BM486" s="5">
        <v>0.0</v>
      </c>
      <c r="BN486" s="5">
        <v>0.0</v>
      </c>
      <c r="BO486" s="5">
        <v>0.0</v>
      </c>
      <c r="BP486" s="5">
        <v>0.0</v>
      </c>
      <c r="BQ486" s="5">
        <v>0.0</v>
      </c>
      <c r="BR486" s="5">
        <v>0.0</v>
      </c>
    </row>
    <row r="487" ht="15.75" customHeight="1">
      <c r="A487" s="4" t="str">
        <f t="shared" si="1"/>
        <v>Liabilities|Portfolio investment, Debt securities, Long-term, Positions, Derived using counterparty information|Mauritius|Half-yearly, semester</v>
      </c>
      <c r="B487" s="4" t="s">
        <v>72</v>
      </c>
      <c r="C487" s="4" t="s">
        <v>827</v>
      </c>
      <c r="D487" s="4" t="s">
        <v>74</v>
      </c>
      <c r="E487" s="4" t="s">
        <v>75</v>
      </c>
      <c r="F487" s="4" t="s">
        <v>76</v>
      </c>
      <c r="G487" s="4" t="s">
        <v>549</v>
      </c>
      <c r="H487" s="4" t="s">
        <v>78</v>
      </c>
      <c r="I487" s="4" t="s">
        <v>78</v>
      </c>
      <c r="J487" s="4" t="s">
        <v>428</v>
      </c>
      <c r="K487" s="4" t="s">
        <v>80</v>
      </c>
      <c r="L487" s="4" t="s">
        <v>81</v>
      </c>
      <c r="Z487" s="5">
        <v>0.3</v>
      </c>
      <c r="AB487" s="5">
        <v>0.3</v>
      </c>
      <c r="AF487" s="5">
        <v>0.0</v>
      </c>
      <c r="AH487" s="5">
        <v>82.0</v>
      </c>
      <c r="AJ487" s="5">
        <v>0.1</v>
      </c>
      <c r="AL487" s="5">
        <v>0.0</v>
      </c>
      <c r="AN487" s="5">
        <v>0.0</v>
      </c>
      <c r="AP487" s="5">
        <v>0.0</v>
      </c>
      <c r="AT487" s="5">
        <v>0.0</v>
      </c>
      <c r="AU487" s="5">
        <v>0.4</v>
      </c>
      <c r="AV487" s="5">
        <v>1.1</v>
      </c>
      <c r="AW487" s="5">
        <v>0.2</v>
      </c>
      <c r="AX487" s="5">
        <v>0.0</v>
      </c>
      <c r="AY487" s="5">
        <v>0.0</v>
      </c>
      <c r="AZ487" s="5">
        <v>0.0</v>
      </c>
      <c r="BA487" s="5">
        <v>0.0</v>
      </c>
      <c r="BB487" s="5">
        <v>0.0</v>
      </c>
      <c r="BC487" s="5">
        <v>0.0</v>
      </c>
      <c r="BD487" s="5">
        <v>0.0</v>
      </c>
      <c r="BE487" s="5">
        <v>0.0</v>
      </c>
      <c r="BF487" s="5">
        <v>0.0</v>
      </c>
      <c r="BG487" s="5">
        <v>0.0</v>
      </c>
      <c r="BH487" s="5">
        <v>0.0</v>
      </c>
      <c r="BI487" s="5">
        <v>0.0</v>
      </c>
      <c r="BJ487" s="5">
        <v>0.0</v>
      </c>
      <c r="BK487" s="5">
        <v>0.0</v>
      </c>
      <c r="BL487" s="5">
        <v>0.0</v>
      </c>
      <c r="BM487" s="5">
        <v>0.0</v>
      </c>
      <c r="BN487" s="5">
        <v>0.0</v>
      </c>
      <c r="BO487" s="5">
        <v>0.0</v>
      </c>
      <c r="BP487" s="5">
        <v>0.0</v>
      </c>
      <c r="BQ487" s="5">
        <v>0.0</v>
      </c>
      <c r="BR487" s="5">
        <v>0.0</v>
      </c>
    </row>
    <row r="488" ht="15.75" customHeight="1">
      <c r="A488" s="4" t="str">
        <f t="shared" si="1"/>
        <v>Liabilities|Portfolio investment, Debt securities, Long-term, Positions, Derived using counterparty information|Iceland|Half-yearly, semester</v>
      </c>
      <c r="B488" s="4" t="s">
        <v>72</v>
      </c>
      <c r="C488" s="4" t="s">
        <v>828</v>
      </c>
      <c r="D488" s="4" t="s">
        <v>74</v>
      </c>
      <c r="E488" s="4" t="s">
        <v>75</v>
      </c>
      <c r="F488" s="4" t="s">
        <v>76</v>
      </c>
      <c r="G488" s="4" t="s">
        <v>549</v>
      </c>
      <c r="H488" s="4" t="s">
        <v>78</v>
      </c>
      <c r="I488" s="4" t="s">
        <v>78</v>
      </c>
      <c r="J488" s="4" t="s">
        <v>107</v>
      </c>
      <c r="K488" s="4" t="s">
        <v>80</v>
      </c>
      <c r="L488" s="4" t="s">
        <v>81</v>
      </c>
      <c r="N488" s="5">
        <v>0.0</v>
      </c>
      <c r="V488" s="5">
        <v>0.0</v>
      </c>
      <c r="X488" s="5">
        <v>0.0</v>
      </c>
      <c r="Z488" s="5">
        <v>0.0</v>
      </c>
      <c r="AB488" s="5">
        <v>0.0</v>
      </c>
      <c r="AD488" s="5">
        <v>0.0</v>
      </c>
      <c r="AF488" s="5">
        <v>0.0</v>
      </c>
      <c r="AH488" s="5">
        <v>0.0</v>
      </c>
      <c r="AJ488" s="5">
        <v>0.0</v>
      </c>
      <c r="AL488" s="5">
        <v>0.0</v>
      </c>
      <c r="AN488" s="5">
        <v>0.0</v>
      </c>
      <c r="AP488" s="5">
        <v>0.0</v>
      </c>
      <c r="AR488" s="5">
        <v>0.0</v>
      </c>
      <c r="AS488" s="5">
        <v>0.0</v>
      </c>
      <c r="AT488" s="5">
        <v>0.0</v>
      </c>
      <c r="AU488" s="5">
        <v>0.0</v>
      </c>
      <c r="AV488" s="5">
        <v>0.0</v>
      </c>
      <c r="AW488" s="5">
        <v>0.0</v>
      </c>
      <c r="AX488" s="5">
        <v>0.0</v>
      </c>
      <c r="AY488" s="5">
        <v>0.0</v>
      </c>
      <c r="AZ488" s="5">
        <v>0.0</v>
      </c>
      <c r="BA488" s="5">
        <v>0.0</v>
      </c>
      <c r="BB488" s="5">
        <v>0.0</v>
      </c>
      <c r="BC488" s="5">
        <v>0.0</v>
      </c>
      <c r="BD488" s="5">
        <v>0.0</v>
      </c>
      <c r="BE488" s="5">
        <v>0.0</v>
      </c>
      <c r="BF488" s="5">
        <v>0.0</v>
      </c>
      <c r="BG488" s="5">
        <v>0.0</v>
      </c>
      <c r="BH488" s="5">
        <v>0.0</v>
      </c>
      <c r="BI488" s="5">
        <v>0.0</v>
      </c>
      <c r="BJ488" s="5">
        <v>0.0</v>
      </c>
      <c r="BK488" s="5">
        <v>0.0</v>
      </c>
      <c r="BL488" s="5">
        <v>0.0</v>
      </c>
      <c r="BM488" s="5">
        <v>0.0</v>
      </c>
      <c r="BN488" s="5">
        <v>0.0</v>
      </c>
      <c r="BO488" s="5">
        <v>0.0</v>
      </c>
      <c r="BP488" s="5">
        <v>0.0</v>
      </c>
      <c r="BQ488" s="5">
        <v>0.0</v>
      </c>
      <c r="BR488" s="5">
        <v>0.0</v>
      </c>
    </row>
    <row r="489" ht="15.75" customHeight="1">
      <c r="A489" s="4" t="str">
        <f t="shared" si="1"/>
        <v>Liabilities|Portfolio investment, Debt securities, Long-term, Positions, Derived using counterparty information|China, People's Republic of|Half-yearly, semester</v>
      </c>
      <c r="B489" s="4" t="s">
        <v>72</v>
      </c>
      <c r="C489" s="4" t="s">
        <v>829</v>
      </c>
      <c r="D489" s="4" t="s">
        <v>74</v>
      </c>
      <c r="E489" s="4" t="s">
        <v>75</v>
      </c>
      <c r="F489" s="4" t="s">
        <v>76</v>
      </c>
      <c r="G489" s="4" t="s">
        <v>549</v>
      </c>
      <c r="H489" s="4" t="s">
        <v>78</v>
      </c>
      <c r="I489" s="4" t="s">
        <v>78</v>
      </c>
      <c r="J489" s="4" t="s">
        <v>616</v>
      </c>
      <c r="K489" s="4" t="s">
        <v>80</v>
      </c>
      <c r="L489" s="4" t="s">
        <v>81</v>
      </c>
      <c r="AW489" s="5">
        <v>31.89294484</v>
      </c>
      <c r="AX489" s="5">
        <v>31.36860839</v>
      </c>
      <c r="AY489" s="5">
        <v>36.31362614</v>
      </c>
      <c r="AZ489" s="5">
        <v>98.00974641</v>
      </c>
      <c r="BA489" s="5">
        <v>167.971703</v>
      </c>
      <c r="BB489" s="5">
        <v>274.962847</v>
      </c>
      <c r="BC489" s="5">
        <v>316.249347</v>
      </c>
      <c r="BD489" s="5">
        <v>387.2413808</v>
      </c>
      <c r="BE489" s="5">
        <v>466.9916145</v>
      </c>
      <c r="BF489" s="5">
        <v>462.2727687</v>
      </c>
      <c r="BG489" s="5">
        <v>452.0049721</v>
      </c>
      <c r="BH489" s="5">
        <v>400.6575373</v>
      </c>
      <c r="BI489" s="5">
        <v>328.7908728</v>
      </c>
      <c r="BJ489" s="5">
        <v>311.3103773</v>
      </c>
      <c r="BK489" s="5">
        <v>269.59518517</v>
      </c>
      <c r="BL489" s="5">
        <v>287.07948512</v>
      </c>
      <c r="BM489" s="5">
        <v>295.3829729</v>
      </c>
      <c r="BN489" s="5">
        <v>274.96773526</v>
      </c>
      <c r="BO489" s="5">
        <v>312.12783908</v>
      </c>
      <c r="BP489" s="5">
        <v>469.10458975</v>
      </c>
      <c r="BQ489" s="5">
        <v>680.39165198</v>
      </c>
      <c r="BR489" s="5">
        <v>770.37444721</v>
      </c>
    </row>
    <row r="490" ht="15.75" customHeight="1">
      <c r="A490" s="4" t="str">
        <f t="shared" si="1"/>
        <v>Liabilities|Portfolio investment, Debt securities, Long-term, Positions, Derived using counterparty information|Colombia|Half-yearly, semester</v>
      </c>
      <c r="B490" s="4" t="s">
        <v>72</v>
      </c>
      <c r="C490" s="4" t="s">
        <v>830</v>
      </c>
      <c r="D490" s="4" t="s">
        <v>74</v>
      </c>
      <c r="E490" s="4" t="s">
        <v>75</v>
      </c>
      <c r="F490" s="4" t="s">
        <v>76</v>
      </c>
      <c r="G490" s="4" t="s">
        <v>549</v>
      </c>
      <c r="H490" s="4" t="s">
        <v>78</v>
      </c>
      <c r="I490" s="4" t="s">
        <v>78</v>
      </c>
      <c r="J490" s="4" t="s">
        <v>302</v>
      </c>
      <c r="K490" s="4" t="s">
        <v>80</v>
      </c>
      <c r="L490" s="4" t="s">
        <v>81</v>
      </c>
      <c r="X490" s="5">
        <v>0.0</v>
      </c>
      <c r="AB490" s="5">
        <v>9.70886690125673</v>
      </c>
      <c r="AH490" s="5">
        <v>14.0630175</v>
      </c>
      <c r="AL490" s="5">
        <v>3.57767497330011</v>
      </c>
      <c r="AN490" s="5">
        <v>18.0508278470428</v>
      </c>
      <c r="AP490" s="5">
        <v>9.30861246106223</v>
      </c>
      <c r="AR490" s="5">
        <v>14.611226920095</v>
      </c>
      <c r="AT490" s="5">
        <v>7.35221614562077</v>
      </c>
      <c r="AU490" s="5">
        <v>7.01969245597126</v>
      </c>
      <c r="AV490" s="5">
        <v>16.4520334374187</v>
      </c>
      <c r="AW490" s="5">
        <v>54.0162483758463</v>
      </c>
      <c r="AX490" s="5">
        <v>35.7349869407009</v>
      </c>
      <c r="AY490" s="5">
        <v>18.3426193646634</v>
      </c>
      <c r="AZ490" s="5">
        <v>0.0</v>
      </c>
      <c r="BA490" s="5">
        <v>6.22404891601584</v>
      </c>
      <c r="BB490" s="5">
        <v>0.0</v>
      </c>
      <c r="BC490" s="5">
        <v>0.0</v>
      </c>
      <c r="BD490" s="5">
        <v>0.0</v>
      </c>
      <c r="BE490" s="5">
        <v>0.0</v>
      </c>
      <c r="BF490" s="5">
        <v>6.34649989897403</v>
      </c>
      <c r="BG490" s="5">
        <v>48.0462314202007</v>
      </c>
      <c r="BH490" s="5">
        <v>54.7886485976783</v>
      </c>
      <c r="BI490" s="5">
        <v>50.2559313534973</v>
      </c>
      <c r="BJ490" s="5">
        <v>86.025294955289</v>
      </c>
      <c r="BK490" s="5">
        <v>68.5734198976517</v>
      </c>
      <c r="BL490" s="5">
        <v>69.5425675479716</v>
      </c>
      <c r="BM490" s="5">
        <v>82.8541138660871</v>
      </c>
      <c r="BN490" s="5">
        <v>85.7019459251904</v>
      </c>
      <c r="BO490" s="5">
        <v>55.1559215862798</v>
      </c>
      <c r="BP490" s="5">
        <v>30.570237997028</v>
      </c>
      <c r="BQ490" s="5">
        <v>53.9056280064764</v>
      </c>
      <c r="BR490" s="5">
        <v>63.0420788531022</v>
      </c>
    </row>
    <row r="491" ht="15.75" customHeight="1">
      <c r="A491" s="4" t="str">
        <f t="shared" si="1"/>
        <v>Liabilities|Portfolio investment, Debt securities, Long-term, Positions, Derived using counterparty information|Jersey|Half-yearly, semester</v>
      </c>
      <c r="B491" s="4" t="s">
        <v>72</v>
      </c>
      <c r="C491" s="4" t="s">
        <v>832</v>
      </c>
      <c r="D491" s="4" t="s">
        <v>74</v>
      </c>
      <c r="E491" s="4" t="s">
        <v>75</v>
      </c>
      <c r="F491" s="4" t="s">
        <v>76</v>
      </c>
      <c r="G491" s="4" t="s">
        <v>549</v>
      </c>
      <c r="H491" s="4" t="s">
        <v>78</v>
      </c>
      <c r="I491" s="4" t="s">
        <v>78</v>
      </c>
      <c r="J491" s="4" t="s">
        <v>304</v>
      </c>
      <c r="K491" s="4" t="s">
        <v>80</v>
      </c>
      <c r="L491" s="4" t="s">
        <v>81</v>
      </c>
      <c r="V491" s="5">
        <v>36.26</v>
      </c>
      <c r="X491" s="5">
        <v>49.9658</v>
      </c>
      <c r="Z491" s="5">
        <v>158.8383</v>
      </c>
      <c r="AB491" s="5">
        <v>185.4144</v>
      </c>
      <c r="AD491" s="5">
        <v>27.5504</v>
      </c>
      <c r="AF491" s="5">
        <v>21.593</v>
      </c>
      <c r="AH491" s="5">
        <v>288.4896</v>
      </c>
      <c r="AJ491" s="5">
        <v>220.1278</v>
      </c>
      <c r="AL491" s="5">
        <v>82.5945000000001</v>
      </c>
      <c r="AN491" s="5">
        <v>36.0065</v>
      </c>
      <c r="AP491" s="5">
        <v>196.3547</v>
      </c>
      <c r="AR491" s="5">
        <v>61.542</v>
      </c>
      <c r="AT491" s="5">
        <v>87.2804</v>
      </c>
      <c r="AV491" s="5">
        <v>79.6008000000001</v>
      </c>
      <c r="AX491" s="5">
        <v>47.4208</v>
      </c>
      <c r="AZ491" s="5">
        <v>45.5174</v>
      </c>
      <c r="BB491" s="5">
        <v>4.05345</v>
      </c>
      <c r="BD491" s="5">
        <v>3.80865</v>
      </c>
      <c r="BF491" s="5">
        <v>2.6243</v>
      </c>
      <c r="BH491" s="5">
        <v>5.368</v>
      </c>
      <c r="BJ491" s="5">
        <v>10.7472</v>
      </c>
      <c r="BL491" s="5">
        <v>1.2068</v>
      </c>
      <c r="BN491" s="5">
        <v>34.38585</v>
      </c>
      <c r="BP491" s="5">
        <v>10.0364</v>
      </c>
      <c r="BR491" s="5">
        <v>3.1011563625</v>
      </c>
    </row>
    <row r="492" ht="15.75" customHeight="1">
      <c r="A492" s="4" t="str">
        <f t="shared" si="1"/>
        <v>Liabilities|Portfolio investment, Debt securities, Long-term, Positions, Derived using counterparty information|Bulgaria|Half-yearly, semester</v>
      </c>
      <c r="B492" s="4" t="s">
        <v>72</v>
      </c>
      <c r="C492" s="4" t="s">
        <v>833</v>
      </c>
      <c r="D492" s="4" t="s">
        <v>74</v>
      </c>
      <c r="E492" s="4" t="s">
        <v>75</v>
      </c>
      <c r="F492" s="4" t="s">
        <v>76</v>
      </c>
      <c r="G492" s="4" t="s">
        <v>549</v>
      </c>
      <c r="H492" s="4" t="s">
        <v>78</v>
      </c>
      <c r="I492" s="4" t="s">
        <v>78</v>
      </c>
      <c r="J492" s="4" t="s">
        <v>103</v>
      </c>
      <c r="K492" s="4" t="s">
        <v>80</v>
      </c>
      <c r="L492" s="4" t="s">
        <v>81</v>
      </c>
      <c r="AB492" s="5">
        <v>0.0</v>
      </c>
      <c r="AD492" s="5">
        <v>0.356305958038965</v>
      </c>
      <c r="AF492" s="5">
        <v>0.0</v>
      </c>
      <c r="AJ492" s="5">
        <v>0.0</v>
      </c>
      <c r="AL492" s="5">
        <v>0.0</v>
      </c>
      <c r="AN492" s="5">
        <v>0.0</v>
      </c>
      <c r="AP492" s="5">
        <v>0.0</v>
      </c>
      <c r="AR492" s="5">
        <v>0.0</v>
      </c>
      <c r="AS492" s="5">
        <v>0.0</v>
      </c>
      <c r="AT492" s="5">
        <v>0.0</v>
      </c>
      <c r="AU492" s="5">
        <v>0.0</v>
      </c>
      <c r="AV492" s="5">
        <v>0.0</v>
      </c>
      <c r="AW492" s="5">
        <v>0.0</v>
      </c>
      <c r="AX492" s="5">
        <v>0.0</v>
      </c>
      <c r="AY492" s="5">
        <v>0.0</v>
      </c>
      <c r="AZ492" s="5">
        <v>0.0</v>
      </c>
      <c r="BA492" s="5">
        <v>0.0</v>
      </c>
      <c r="BB492" s="5">
        <v>0.0</v>
      </c>
      <c r="BC492" s="5">
        <v>0.0</v>
      </c>
      <c r="BD492" s="5">
        <v>0.0</v>
      </c>
      <c r="BE492" s="5">
        <v>0.0</v>
      </c>
      <c r="BF492" s="5">
        <v>0.0</v>
      </c>
      <c r="BG492" s="5">
        <v>0.0</v>
      </c>
      <c r="BH492" s="5">
        <v>0.0</v>
      </c>
      <c r="BI492" s="5">
        <v>0.0</v>
      </c>
      <c r="BJ492" s="5">
        <v>0.0</v>
      </c>
      <c r="BK492" s="5">
        <v>0.00820207085803048</v>
      </c>
      <c r="BL492" s="5">
        <v>0.00833533901945798</v>
      </c>
      <c r="BM492" s="5">
        <v>0.00822414935939217</v>
      </c>
      <c r="BN492" s="5">
        <v>0.00872829013542068</v>
      </c>
      <c r="BO492" s="5">
        <v>0.10336245900823</v>
      </c>
      <c r="BP492" s="5">
        <v>0.102625777001316</v>
      </c>
      <c r="BQ492" s="5">
        <v>0.117391471943697</v>
      </c>
      <c r="BR492" s="5">
        <v>0.0</v>
      </c>
    </row>
    <row r="493" ht="15.75" customHeight="1">
      <c r="A493" s="4" t="str">
        <f t="shared" si="1"/>
        <v>Liabilities|Portfolio investment, Debt securities, Positions, Derived using counterparty information|Czech Republic|Half-yearly, semester</v>
      </c>
      <c r="B493" s="4" t="s">
        <v>72</v>
      </c>
      <c r="C493" s="4" t="s">
        <v>834</v>
      </c>
      <c r="D493" s="4" t="s">
        <v>74</v>
      </c>
      <c r="E493" s="4" t="s">
        <v>75</v>
      </c>
      <c r="F493" s="4" t="s">
        <v>76</v>
      </c>
      <c r="G493" s="4" t="s">
        <v>571</v>
      </c>
      <c r="H493" s="4" t="s">
        <v>78</v>
      </c>
      <c r="I493" s="4" t="s">
        <v>78</v>
      </c>
      <c r="J493" s="4" t="s">
        <v>468</v>
      </c>
      <c r="K493" s="4" t="s">
        <v>80</v>
      </c>
      <c r="L493" s="4" t="s">
        <v>81</v>
      </c>
      <c r="V493" s="5">
        <v>0.0</v>
      </c>
      <c r="AR493" s="5">
        <v>1.60587772238258</v>
      </c>
      <c r="AS493" s="5">
        <v>3.43732674764377</v>
      </c>
      <c r="AT493" s="5">
        <v>4.96632150397105</v>
      </c>
      <c r="AU493" s="5">
        <v>5.28358208955224</v>
      </c>
      <c r="AV493" s="5">
        <v>1.17368835946396</v>
      </c>
      <c r="AW493" s="5">
        <v>0.123218466340822</v>
      </c>
      <c r="AX493" s="5">
        <v>0.120850789558492</v>
      </c>
      <c r="AY493" s="5">
        <v>0.122784758318667</v>
      </c>
      <c r="AZ493" s="5">
        <v>0.156012324973673</v>
      </c>
      <c r="BA493" s="5">
        <v>0.261415127222029</v>
      </c>
      <c r="BB493" s="5">
        <v>0.234841012634447</v>
      </c>
      <c r="BC493" s="5">
        <v>0.044806882337127</v>
      </c>
      <c r="BD493" s="5">
        <v>0.0890234131576605</v>
      </c>
      <c r="BE493" s="5">
        <v>0.134150158744355</v>
      </c>
      <c r="BF493" s="5">
        <v>0.0</v>
      </c>
      <c r="BG493" s="5">
        <v>0.0</v>
      </c>
      <c r="BH493" s="5">
        <v>0.0</v>
      </c>
      <c r="BI493" s="5">
        <v>0.0</v>
      </c>
      <c r="BJ493" s="5">
        <v>1.18445628900734</v>
      </c>
      <c r="BK493" s="5">
        <v>1.00751437806977</v>
      </c>
      <c r="BL493" s="5">
        <v>0.972762645914397</v>
      </c>
      <c r="BM493" s="5">
        <v>1.0077412853282</v>
      </c>
      <c r="BN493" s="5">
        <v>1.16195924204505</v>
      </c>
      <c r="BO493" s="5">
        <v>1.11177627640469</v>
      </c>
      <c r="BP493" s="5">
        <v>1.6916285018773</v>
      </c>
      <c r="BQ493" s="5">
        <v>1.13598712547925</v>
      </c>
      <c r="BR493" s="5">
        <v>7.12485459480419</v>
      </c>
    </row>
    <row r="494" ht="15.75" customHeight="1">
      <c r="A494" s="4" t="str">
        <f t="shared" si="1"/>
        <v>Liabilities|Portfolio investment, Debt securities, Positions, Derived using counterparty information|Poland, Republic of|Half-yearly, semester</v>
      </c>
      <c r="B494" s="4" t="s">
        <v>72</v>
      </c>
      <c r="C494" s="4" t="s">
        <v>835</v>
      </c>
      <c r="D494" s="4" t="s">
        <v>74</v>
      </c>
      <c r="E494" s="4" t="s">
        <v>75</v>
      </c>
      <c r="F494" s="4" t="s">
        <v>76</v>
      </c>
      <c r="G494" s="4" t="s">
        <v>571</v>
      </c>
      <c r="H494" s="4" t="s">
        <v>78</v>
      </c>
      <c r="I494" s="4" t="s">
        <v>78</v>
      </c>
      <c r="J494" s="4" t="s">
        <v>155</v>
      </c>
      <c r="K494" s="4" t="s">
        <v>80</v>
      </c>
      <c r="L494" s="4" t="s">
        <v>81</v>
      </c>
      <c r="V494" s="5">
        <v>0.0</v>
      </c>
      <c r="Z494" s="5">
        <v>0.0</v>
      </c>
      <c r="AB494" s="5">
        <v>0.0</v>
      </c>
      <c r="AD494" s="5">
        <v>0.0</v>
      </c>
      <c r="AL494" s="5">
        <v>0.0</v>
      </c>
      <c r="AN494" s="5">
        <v>0.0</v>
      </c>
      <c r="AP494" s="5">
        <v>0.0</v>
      </c>
      <c r="AR494" s="5">
        <v>0.0</v>
      </c>
      <c r="AS494" s="5">
        <v>0.0</v>
      </c>
      <c r="AY494" s="5">
        <v>0.0</v>
      </c>
      <c r="AZ494" s="5">
        <v>0.0</v>
      </c>
      <c r="BE494" s="5">
        <v>0.0</v>
      </c>
      <c r="BF494" s="5">
        <v>0.0</v>
      </c>
      <c r="BG494" s="5">
        <v>0.0</v>
      </c>
      <c r="BR494" s="5">
        <v>2.77654375832963</v>
      </c>
    </row>
    <row r="495" ht="15.75" customHeight="1">
      <c r="A495" s="4" t="str">
        <f t="shared" si="1"/>
        <v>Liabilities|Portfolio investment, Debt securities, Positions, Derived using counterparty information|Israel|Half-yearly, semester</v>
      </c>
      <c r="B495" s="4" t="s">
        <v>72</v>
      </c>
      <c r="C495" s="4" t="s">
        <v>836</v>
      </c>
      <c r="D495" s="4" t="s">
        <v>74</v>
      </c>
      <c r="E495" s="4" t="s">
        <v>75</v>
      </c>
      <c r="F495" s="4" t="s">
        <v>76</v>
      </c>
      <c r="G495" s="4" t="s">
        <v>571</v>
      </c>
      <c r="H495" s="4" t="s">
        <v>78</v>
      </c>
      <c r="I495" s="4" t="s">
        <v>78</v>
      </c>
      <c r="J495" s="4" t="s">
        <v>236</v>
      </c>
      <c r="K495" s="4" t="s">
        <v>80</v>
      </c>
      <c r="L495" s="4" t="s">
        <v>81</v>
      </c>
      <c r="N495" s="5">
        <v>6.056</v>
      </c>
      <c r="V495" s="5">
        <v>3.0</v>
      </c>
      <c r="X495" s="5">
        <v>4.0</v>
      </c>
      <c r="Z495" s="5">
        <v>5.0</v>
      </c>
      <c r="AB495" s="5">
        <v>4.0</v>
      </c>
      <c r="AD495" s="5">
        <v>13.0</v>
      </c>
      <c r="AF495" s="5">
        <v>13.0</v>
      </c>
      <c r="AH495" s="5">
        <v>15.0</v>
      </c>
      <c r="AJ495" s="5">
        <v>9.0</v>
      </c>
      <c r="AL495" s="5">
        <v>128.0</v>
      </c>
      <c r="AN495" s="5">
        <v>68.0</v>
      </c>
      <c r="AP495" s="5">
        <v>58.0</v>
      </c>
      <c r="AR495" s="5">
        <v>23.0</v>
      </c>
      <c r="AS495" s="5">
        <v>2.0</v>
      </c>
      <c r="AT495" s="5">
        <v>2.0</v>
      </c>
      <c r="AU495" s="5">
        <v>5.0</v>
      </c>
      <c r="AV495" s="5">
        <v>6.0</v>
      </c>
      <c r="AW495" s="5">
        <v>6.0</v>
      </c>
      <c r="AX495" s="5">
        <v>6.0</v>
      </c>
      <c r="AY495" s="5">
        <v>8.0</v>
      </c>
      <c r="AZ495" s="5">
        <v>10.0</v>
      </c>
      <c r="BA495" s="5">
        <v>8.0</v>
      </c>
      <c r="BB495" s="5">
        <v>14.0</v>
      </c>
      <c r="BC495" s="5">
        <v>18.0</v>
      </c>
      <c r="BD495" s="5">
        <v>12.0</v>
      </c>
      <c r="BE495" s="5">
        <v>7.0</v>
      </c>
      <c r="BF495" s="5">
        <v>7.0</v>
      </c>
      <c r="BG495" s="5">
        <v>17.0</v>
      </c>
      <c r="BH495" s="5">
        <v>15.0</v>
      </c>
      <c r="BI495" s="5">
        <v>14.0</v>
      </c>
      <c r="BJ495" s="5">
        <v>21.0</v>
      </c>
      <c r="BK495" s="5">
        <v>17.0</v>
      </c>
      <c r="BL495" s="5">
        <v>17.0</v>
      </c>
      <c r="BM495" s="5">
        <v>31.0</v>
      </c>
      <c r="BN495" s="5">
        <v>31.0</v>
      </c>
      <c r="BO495" s="5">
        <v>25.0</v>
      </c>
      <c r="BP495" s="5">
        <v>26.0</v>
      </c>
      <c r="BQ495" s="5">
        <v>24.0</v>
      </c>
      <c r="BR495" s="5">
        <v>26.0</v>
      </c>
    </row>
    <row r="496" ht="15.75" customHeight="1">
      <c r="A496" s="4" t="str">
        <f t="shared" si="1"/>
        <v>Liabilities|Portfolio investment, Debt securities, Positions, Derived using counterparty information|Hungary|Half-yearly, semester</v>
      </c>
      <c r="B496" s="4" t="s">
        <v>72</v>
      </c>
      <c r="C496" s="4" t="s">
        <v>837</v>
      </c>
      <c r="D496" s="4" t="s">
        <v>74</v>
      </c>
      <c r="E496" s="4" t="s">
        <v>75</v>
      </c>
      <c r="F496" s="4" t="s">
        <v>76</v>
      </c>
      <c r="G496" s="4" t="s">
        <v>571</v>
      </c>
      <c r="H496" s="4" t="s">
        <v>78</v>
      </c>
      <c r="I496" s="4" t="s">
        <v>78</v>
      </c>
      <c r="J496" s="4" t="s">
        <v>180</v>
      </c>
      <c r="K496" s="4" t="s">
        <v>80</v>
      </c>
      <c r="L496" s="4" t="s">
        <v>81</v>
      </c>
      <c r="V496" s="5">
        <v>0.0</v>
      </c>
      <c r="X496" s="5">
        <v>0.0</v>
      </c>
      <c r="AL496" s="5">
        <v>0.0</v>
      </c>
      <c r="AN496" s="5">
        <v>0.0</v>
      </c>
      <c r="AR496" s="5">
        <v>0.0</v>
      </c>
      <c r="AS496" s="5">
        <v>0.0</v>
      </c>
      <c r="AT496" s="5">
        <v>3.6398200955163</v>
      </c>
      <c r="AU496" s="5">
        <v>3.6410866023863</v>
      </c>
      <c r="AV496" s="5">
        <v>3.61980473121599</v>
      </c>
      <c r="AW496" s="5">
        <v>0.0</v>
      </c>
      <c r="AX496" s="5">
        <v>0.0</v>
      </c>
      <c r="AY496" s="5">
        <v>0.0</v>
      </c>
      <c r="AZ496" s="5">
        <v>0.0</v>
      </c>
      <c r="BA496" s="5">
        <v>0.0</v>
      </c>
      <c r="BB496" s="5">
        <v>0.0</v>
      </c>
      <c r="BC496" s="5">
        <v>0.0</v>
      </c>
      <c r="BD496" s="5">
        <v>0.0</v>
      </c>
      <c r="BE496" s="5">
        <v>0.0</v>
      </c>
      <c r="BF496" s="5">
        <v>0.0</v>
      </c>
      <c r="BG496" s="5">
        <v>0.0</v>
      </c>
      <c r="BH496" s="5">
        <v>0.0</v>
      </c>
      <c r="BI496" s="5">
        <v>0.0</v>
      </c>
      <c r="BJ496" s="5">
        <v>0.0</v>
      </c>
      <c r="BK496" s="5">
        <v>0.0447380194215637</v>
      </c>
      <c r="BL496" s="5">
        <v>0.0452512776831346</v>
      </c>
      <c r="BM496" s="5">
        <v>0.0438084112149533</v>
      </c>
      <c r="BN496" s="5">
        <v>0.0461840434130008</v>
      </c>
      <c r="BO496" s="5">
        <v>0.0487276664861938</v>
      </c>
      <c r="BP496" s="5">
        <v>0.0482723577235772</v>
      </c>
      <c r="BQ496" s="5">
        <v>0.0499397785023942</v>
      </c>
      <c r="BR496" s="5">
        <v>0.0517629864198283</v>
      </c>
    </row>
    <row r="497" ht="15.75" customHeight="1">
      <c r="A497" s="4" t="str">
        <f t="shared" si="1"/>
        <v>Liabilities|Portfolio investment, Debt securities, Positions, Derived using counterparty information|Kazakhstan, Republic of|Half-yearly, semester</v>
      </c>
      <c r="B497" s="4" t="s">
        <v>72</v>
      </c>
      <c r="C497" s="4" t="s">
        <v>838</v>
      </c>
      <c r="D497" s="4" t="s">
        <v>74</v>
      </c>
      <c r="E497" s="4" t="s">
        <v>75</v>
      </c>
      <c r="F497" s="4" t="s">
        <v>76</v>
      </c>
      <c r="G497" s="4" t="s">
        <v>571</v>
      </c>
      <c r="H497" s="4" t="s">
        <v>78</v>
      </c>
      <c r="I497" s="4" t="s">
        <v>78</v>
      </c>
      <c r="J497" s="4" t="s">
        <v>204</v>
      </c>
      <c r="K497" s="4" t="s">
        <v>80</v>
      </c>
      <c r="L497" s="4" t="s">
        <v>81</v>
      </c>
      <c r="AB497" s="5">
        <v>3.69</v>
      </c>
      <c r="AD497" s="5">
        <v>7.71945895</v>
      </c>
      <c r="AF497" s="5">
        <v>8.89895936</v>
      </c>
      <c r="AH497" s="5">
        <v>0.0</v>
      </c>
      <c r="AJ497" s="5">
        <v>0.0</v>
      </c>
      <c r="AL497" s="5">
        <v>0.0</v>
      </c>
      <c r="AN497" s="5">
        <v>0.0</v>
      </c>
      <c r="AP497" s="5">
        <v>0.0</v>
      </c>
      <c r="AR497" s="5">
        <v>0.0</v>
      </c>
      <c r="AS497" s="5">
        <v>0.0</v>
      </c>
      <c r="AT497" s="5">
        <v>0.0</v>
      </c>
      <c r="AU497" s="5">
        <v>5.9120867</v>
      </c>
      <c r="AV497" s="5">
        <v>10.39395785</v>
      </c>
      <c r="AW497" s="5">
        <v>18.54163959</v>
      </c>
      <c r="AX497" s="5">
        <v>25.18653916</v>
      </c>
      <c r="AY497" s="5">
        <v>31.15777062</v>
      </c>
      <c r="AZ497" s="5">
        <v>11.31138753</v>
      </c>
      <c r="BA497" s="5">
        <v>14.87286094</v>
      </c>
      <c r="BB497" s="5">
        <v>35.25410274</v>
      </c>
      <c r="BC497" s="5">
        <v>83.72658151</v>
      </c>
      <c r="BD497" s="5">
        <v>83.74860844</v>
      </c>
      <c r="BE497" s="5">
        <v>86.46745066</v>
      </c>
      <c r="BF497" s="5">
        <v>86.92082563</v>
      </c>
      <c r="BG497" s="5">
        <v>16.54532404</v>
      </c>
      <c r="BH497" s="5">
        <v>52.79704396</v>
      </c>
      <c r="BI497" s="5">
        <v>36.09027156</v>
      </c>
      <c r="BJ497" s="5">
        <v>40.42603921</v>
      </c>
      <c r="BK497" s="5">
        <v>6.81617862</v>
      </c>
      <c r="BL497" s="5">
        <v>18.35750645</v>
      </c>
      <c r="BM497" s="5">
        <v>18.06960161</v>
      </c>
      <c r="BN497" s="5">
        <v>23.41545225</v>
      </c>
      <c r="BO497" s="5">
        <v>27.33245954</v>
      </c>
      <c r="BP497" s="5">
        <v>22.40940906</v>
      </c>
      <c r="BQ497" s="5">
        <v>20.60914382</v>
      </c>
      <c r="BR497" s="5">
        <v>8.52204111</v>
      </c>
    </row>
    <row r="498" ht="15.75" customHeight="1">
      <c r="A498" s="4" t="str">
        <f t="shared" si="1"/>
        <v>Liabilities|Portfolio investment, Debt securities, Positions, Derived using counterparty information|Kosovo, Republic of|Half-yearly, semester</v>
      </c>
      <c r="B498" s="4" t="s">
        <v>72</v>
      </c>
      <c r="C498" s="4" t="s">
        <v>839</v>
      </c>
      <c r="D498" s="4" t="s">
        <v>74</v>
      </c>
      <c r="E498" s="4" t="s">
        <v>75</v>
      </c>
      <c r="F498" s="4" t="s">
        <v>76</v>
      </c>
      <c r="G498" s="4" t="s">
        <v>571</v>
      </c>
      <c r="H498" s="4" t="s">
        <v>78</v>
      </c>
      <c r="I498" s="4" t="s">
        <v>78</v>
      </c>
      <c r="J498" s="4" t="s">
        <v>527</v>
      </c>
      <c r="K498" s="4" t="s">
        <v>80</v>
      </c>
      <c r="L498" s="4" t="s">
        <v>81</v>
      </c>
      <c r="AN498" s="5">
        <v>0.0</v>
      </c>
      <c r="AP498" s="5">
        <v>0.0</v>
      </c>
      <c r="AR498" s="5">
        <v>0.0</v>
      </c>
      <c r="AS498" s="5">
        <v>0.0</v>
      </c>
      <c r="AT498" s="5">
        <v>0.0</v>
      </c>
      <c r="AU498" s="5">
        <v>0.0</v>
      </c>
      <c r="AV498" s="5">
        <v>0.0</v>
      </c>
      <c r="AW498" s="5">
        <v>0.0</v>
      </c>
      <c r="AX498" s="5">
        <v>0.0</v>
      </c>
      <c r="AY498" s="5">
        <v>0.0</v>
      </c>
      <c r="AZ498" s="5">
        <v>0.0</v>
      </c>
      <c r="BA498" s="5">
        <v>0.0</v>
      </c>
      <c r="BB498" s="5">
        <v>0.0</v>
      </c>
      <c r="BC498" s="5">
        <v>0.0</v>
      </c>
      <c r="BD498" s="5">
        <v>0.0</v>
      </c>
      <c r="BE498" s="5">
        <v>0.0</v>
      </c>
      <c r="BF498" s="5">
        <v>0.0</v>
      </c>
      <c r="BG498" s="5">
        <v>0.0</v>
      </c>
      <c r="BH498" s="5">
        <v>0.0</v>
      </c>
      <c r="BI498" s="5">
        <v>0.0</v>
      </c>
      <c r="BJ498" s="5">
        <v>0.0</v>
      </c>
      <c r="BK498" s="5">
        <v>0.0</v>
      </c>
      <c r="BL498" s="5">
        <v>0.0</v>
      </c>
      <c r="BM498" s="5">
        <v>0.0</v>
      </c>
      <c r="BN498" s="5">
        <v>0.0</v>
      </c>
      <c r="BO498" s="5">
        <v>0.0</v>
      </c>
      <c r="BP498" s="5">
        <v>0.0</v>
      </c>
      <c r="BQ498" s="5">
        <v>0.0</v>
      </c>
      <c r="BR498" s="5">
        <v>0.0</v>
      </c>
    </row>
    <row r="499" ht="15.75" customHeight="1">
      <c r="A499" s="4" t="str">
        <f t="shared" si="1"/>
        <v>Liabilities|Portfolio investment, Debt securities, Positions, Derived using counterparty information|Lithuania, Republic of|Half-yearly, semester</v>
      </c>
      <c r="B499" s="4" t="s">
        <v>72</v>
      </c>
      <c r="C499" s="4" t="s">
        <v>840</v>
      </c>
      <c r="D499" s="4" t="s">
        <v>74</v>
      </c>
      <c r="E499" s="4" t="s">
        <v>75</v>
      </c>
      <c r="F499" s="4" t="s">
        <v>76</v>
      </c>
      <c r="G499" s="4" t="s">
        <v>571</v>
      </c>
      <c r="H499" s="4" t="s">
        <v>78</v>
      </c>
      <c r="I499" s="4" t="s">
        <v>78</v>
      </c>
      <c r="J499" s="4" t="s">
        <v>443</v>
      </c>
      <c r="K499" s="4" t="s">
        <v>80</v>
      </c>
      <c r="L499" s="4" t="s">
        <v>81</v>
      </c>
      <c r="AL499" s="5">
        <v>0.0</v>
      </c>
      <c r="AN499" s="5">
        <v>0.0</v>
      </c>
      <c r="AP499" s="5">
        <v>0.0</v>
      </c>
      <c r="AR499" s="5">
        <v>0.0</v>
      </c>
      <c r="AS499" s="5">
        <v>0.0</v>
      </c>
      <c r="AT499" s="5">
        <v>0.0</v>
      </c>
      <c r="AU499" s="5">
        <v>0.0</v>
      </c>
      <c r="AV499" s="5">
        <v>0.0</v>
      </c>
      <c r="AW499" s="5">
        <v>0.0</v>
      </c>
      <c r="AX499" s="5">
        <v>0.0</v>
      </c>
      <c r="AY499" s="5">
        <v>0.0</v>
      </c>
      <c r="AZ499" s="5">
        <v>0.0</v>
      </c>
      <c r="BA499" s="5">
        <v>0.0</v>
      </c>
      <c r="BB499" s="5">
        <v>0.0</v>
      </c>
      <c r="BC499" s="5">
        <v>0.0</v>
      </c>
      <c r="BD499" s="5">
        <v>0.0</v>
      </c>
      <c r="BE499" s="5">
        <v>0.14794</v>
      </c>
      <c r="BF499" s="5">
        <v>0.0</v>
      </c>
      <c r="BG499" s="5">
        <v>0.0</v>
      </c>
      <c r="BH499" s="5">
        <v>0.0</v>
      </c>
      <c r="BI499" s="5">
        <v>0.0</v>
      </c>
      <c r="BJ499" s="5">
        <v>0.0</v>
      </c>
      <c r="BK499" s="5">
        <v>0.0</v>
      </c>
      <c r="BL499" s="5">
        <v>0.0</v>
      </c>
      <c r="BM499" s="5">
        <v>0.0</v>
      </c>
      <c r="BN499" s="5">
        <v>0.0</v>
      </c>
      <c r="BO499" s="5">
        <v>0.0</v>
      </c>
      <c r="BP499" s="5">
        <v>0.0</v>
      </c>
      <c r="BQ499" s="5">
        <v>0.0</v>
      </c>
      <c r="BR499" s="5">
        <v>0.0</v>
      </c>
    </row>
    <row r="500" ht="15.75" customHeight="1">
      <c r="A500" s="4" t="str">
        <f t="shared" si="1"/>
        <v>Liabilities|Portfolio investment, Debt securities, Positions, Derived using counterparty information|Estonia, Republic of|Half-yearly, semester</v>
      </c>
      <c r="B500" s="4" t="s">
        <v>72</v>
      </c>
      <c r="C500" s="4" t="s">
        <v>842</v>
      </c>
      <c r="D500" s="4" t="s">
        <v>74</v>
      </c>
      <c r="E500" s="4" t="s">
        <v>75</v>
      </c>
      <c r="F500" s="4" t="s">
        <v>76</v>
      </c>
      <c r="G500" s="4" t="s">
        <v>571</v>
      </c>
      <c r="H500" s="4" t="s">
        <v>78</v>
      </c>
      <c r="I500" s="4" t="s">
        <v>78</v>
      </c>
      <c r="J500" s="4" t="s">
        <v>547</v>
      </c>
      <c r="K500" s="4" t="s">
        <v>80</v>
      </c>
      <c r="L500" s="4" t="s">
        <v>81</v>
      </c>
      <c r="V500" s="5">
        <v>0.0</v>
      </c>
      <c r="X500" s="5">
        <v>0.0</v>
      </c>
      <c r="AS500" s="5">
        <v>0.0</v>
      </c>
      <c r="AT500" s="5">
        <v>0.1473789006</v>
      </c>
      <c r="AU500" s="5">
        <v>0.6572803236</v>
      </c>
      <c r="AV500" s="5">
        <v>0.6347836863</v>
      </c>
      <c r="AW500" s="5">
        <v>0.0135655436</v>
      </c>
      <c r="AX500" s="5">
        <v>1.3040677227</v>
      </c>
      <c r="AZ500" s="5">
        <v>2.7844283402</v>
      </c>
      <c r="BA500" s="5">
        <v>0.8935265052</v>
      </c>
      <c r="BB500" s="5">
        <v>0.9401948329</v>
      </c>
      <c r="BE500" s="5">
        <v>1.615357998</v>
      </c>
      <c r="BK500" s="5">
        <v>0.042555539</v>
      </c>
      <c r="BL500" s="5">
        <v>0.8397587118</v>
      </c>
      <c r="BR500" s="5">
        <v>0.6156248</v>
      </c>
    </row>
    <row r="501" ht="15.75" customHeight="1">
      <c r="A501" s="4" t="str">
        <f t="shared" si="1"/>
        <v>Liabilities|Portfolio investment, Debt securities, Positions, Derived using counterparty information|Slovenia, Republic of|Half-yearly, semester</v>
      </c>
      <c r="B501" s="4" t="s">
        <v>72</v>
      </c>
      <c r="C501" s="4" t="s">
        <v>843</v>
      </c>
      <c r="D501" s="4" t="s">
        <v>74</v>
      </c>
      <c r="E501" s="4" t="s">
        <v>75</v>
      </c>
      <c r="F501" s="4" t="s">
        <v>76</v>
      </c>
      <c r="G501" s="4" t="s">
        <v>571</v>
      </c>
      <c r="H501" s="4" t="s">
        <v>78</v>
      </c>
      <c r="I501" s="4" t="s">
        <v>78</v>
      </c>
      <c r="J501" s="4" t="s">
        <v>490</v>
      </c>
      <c r="K501" s="4" t="s">
        <v>80</v>
      </c>
      <c r="L501" s="4" t="s">
        <v>81</v>
      </c>
      <c r="AL501" s="5">
        <v>0.0</v>
      </c>
      <c r="AN501" s="5">
        <v>0.0547842</v>
      </c>
      <c r="AP501" s="5">
        <v>0.090573</v>
      </c>
      <c r="AR501" s="5">
        <v>0.1068714</v>
      </c>
      <c r="AS501" s="5">
        <v>0.096792</v>
      </c>
      <c r="AT501" s="5">
        <v>1.4742579</v>
      </c>
      <c r="AU501" s="5">
        <v>3.5073744</v>
      </c>
      <c r="AV501" s="5">
        <v>3.1433049</v>
      </c>
      <c r="AW501" s="5">
        <v>6.142761</v>
      </c>
      <c r="AX501" s="5">
        <v>6.0183336</v>
      </c>
      <c r="AY501" s="5">
        <v>6.2915034</v>
      </c>
      <c r="AZ501" s="5">
        <v>7.0224142</v>
      </c>
      <c r="BA501" s="5">
        <v>7.5456144</v>
      </c>
      <c r="BB501" s="5">
        <v>9.1902359</v>
      </c>
      <c r="BC501" s="5">
        <v>7.6989432</v>
      </c>
      <c r="BD501" s="5">
        <v>9.14626</v>
      </c>
      <c r="BE501" s="5">
        <v>8.220912</v>
      </c>
      <c r="BF501" s="5">
        <v>8.2884452</v>
      </c>
      <c r="BG501" s="5">
        <v>5.5105358</v>
      </c>
      <c r="BH501" s="5">
        <v>6.1305916</v>
      </c>
      <c r="BI501" s="5">
        <v>5.2800612</v>
      </c>
      <c r="BJ501" s="5">
        <v>3.3003964</v>
      </c>
      <c r="BK501" s="5">
        <v>0.9026303</v>
      </c>
      <c r="BL501" s="5">
        <v>6.0390892</v>
      </c>
      <c r="BM501" s="5">
        <v>15.152637</v>
      </c>
      <c r="BN501" s="5">
        <v>16.49544</v>
      </c>
      <c r="BO501" s="5">
        <v>19.5505415</v>
      </c>
      <c r="BP501" s="5">
        <v>21.2423883</v>
      </c>
      <c r="BQ501" s="5">
        <v>37.097316</v>
      </c>
      <c r="BR501" s="5">
        <v>37.601175</v>
      </c>
    </row>
    <row r="502" ht="15.75" customHeight="1">
      <c r="A502" s="4" t="str">
        <f t="shared" si="1"/>
        <v>Liabilities|Portfolio investment, Debt securities, Positions, Derived using counterparty information|Canada|Half-yearly, semester</v>
      </c>
      <c r="B502" s="4" t="s">
        <v>72</v>
      </c>
      <c r="C502" s="4" t="s">
        <v>844</v>
      </c>
      <c r="D502" s="4" t="s">
        <v>74</v>
      </c>
      <c r="E502" s="4" t="s">
        <v>75</v>
      </c>
      <c r="F502" s="4" t="s">
        <v>76</v>
      </c>
      <c r="G502" s="4" t="s">
        <v>571</v>
      </c>
      <c r="H502" s="4" t="s">
        <v>78</v>
      </c>
      <c r="I502" s="4" t="s">
        <v>78</v>
      </c>
      <c r="J502" s="4" t="s">
        <v>669</v>
      </c>
      <c r="K502" s="4" t="s">
        <v>80</v>
      </c>
      <c r="L502" s="4" t="s">
        <v>81</v>
      </c>
      <c r="N502" s="5">
        <v>192.630059419783</v>
      </c>
      <c r="V502" s="5">
        <v>46.9365896534405</v>
      </c>
      <c r="X502" s="5">
        <v>127.573097743408</v>
      </c>
      <c r="Z502" s="5">
        <v>94.3308908600077</v>
      </c>
      <c r="AB502" s="5">
        <v>92.0051281198003</v>
      </c>
      <c r="AD502" s="5">
        <v>294.926913155632</v>
      </c>
      <c r="AF502" s="5">
        <v>462.262742406041</v>
      </c>
      <c r="AH502" s="5">
        <v>629.896096035509</v>
      </c>
      <c r="AJ502" s="5">
        <v>441.707717569787</v>
      </c>
      <c r="AL502" s="5">
        <v>534.728829686013</v>
      </c>
      <c r="AN502" s="5">
        <v>699.77880554997</v>
      </c>
      <c r="AP502" s="5">
        <v>671.583087512291</v>
      </c>
      <c r="AR502" s="5">
        <v>711.62930947834</v>
      </c>
      <c r="AS502" s="5">
        <v>734.930595170184</v>
      </c>
      <c r="AT502" s="5">
        <v>614.892816848439</v>
      </c>
      <c r="AU502" s="5">
        <v>651.358950328023</v>
      </c>
      <c r="AV502" s="5">
        <v>893.888457891561</v>
      </c>
      <c r="AW502" s="5">
        <v>849.479583666934</v>
      </c>
      <c r="AX502" s="5">
        <v>632.225433526012</v>
      </c>
      <c r="AY502" s="5">
        <v>637.919021444608</v>
      </c>
      <c r="AZ502" s="5">
        <v>755.939524838013</v>
      </c>
      <c r="BA502" s="5">
        <v>780.61185173769</v>
      </c>
      <c r="BB502" s="5">
        <v>808.290155440415</v>
      </c>
      <c r="BC502" s="5">
        <v>832.32077764277</v>
      </c>
      <c r="BD502" s="5">
        <v>904.625760574738</v>
      </c>
      <c r="BE502" s="5">
        <v>950.56162604111</v>
      </c>
      <c r="BF502" s="5">
        <v>1001.60808637721</v>
      </c>
      <c r="BG502" s="5">
        <v>851.922512474318</v>
      </c>
      <c r="BH502" s="5">
        <v>938.083385189795</v>
      </c>
      <c r="BI502" s="5">
        <v>177.505244473132</v>
      </c>
      <c r="BJ502" s="5">
        <v>278.274387874077</v>
      </c>
      <c r="BK502" s="5">
        <v>376.377463914326</v>
      </c>
      <c r="BL502" s="5">
        <v>397.706388296699</v>
      </c>
      <c r="BM502" s="5">
        <v>657.099697885196</v>
      </c>
      <c r="BN502" s="5">
        <v>665.258711721225</v>
      </c>
      <c r="BO502" s="5">
        <v>719.660992182363</v>
      </c>
      <c r="BP502" s="5">
        <v>810.020876826722</v>
      </c>
      <c r="BQ502" s="5">
        <v>900.828263578392</v>
      </c>
      <c r="BR502" s="5">
        <v>555.960893039545</v>
      </c>
    </row>
    <row r="503" ht="15.75" customHeight="1">
      <c r="A503" s="4" t="str">
        <f t="shared" si="1"/>
        <v>Liabilities|Portfolio investment, Debt securities, Positions, Derived using counterparty information|Latvia, Republic of|Half-yearly, semester</v>
      </c>
      <c r="B503" s="4" t="s">
        <v>72</v>
      </c>
      <c r="C503" s="4" t="s">
        <v>845</v>
      </c>
      <c r="D503" s="4" t="s">
        <v>74</v>
      </c>
      <c r="E503" s="4" t="s">
        <v>75</v>
      </c>
      <c r="F503" s="4" t="s">
        <v>76</v>
      </c>
      <c r="G503" s="4" t="s">
        <v>571</v>
      </c>
      <c r="H503" s="4" t="s">
        <v>78</v>
      </c>
      <c r="I503" s="4" t="s">
        <v>78</v>
      </c>
      <c r="J503" s="4" t="s">
        <v>544</v>
      </c>
      <c r="K503" s="4" t="s">
        <v>80</v>
      </c>
      <c r="L503" s="4" t="s">
        <v>81</v>
      </c>
      <c r="AF503" s="5">
        <v>0.0</v>
      </c>
      <c r="AJ503" s="5">
        <v>2.7834</v>
      </c>
      <c r="AL503" s="5">
        <v>1.4406</v>
      </c>
      <c r="AP503" s="5">
        <v>5.1756</v>
      </c>
      <c r="AR503" s="5">
        <v>0.0</v>
      </c>
      <c r="AS503" s="5">
        <v>0.0</v>
      </c>
      <c r="AT503" s="5">
        <v>0.0</v>
      </c>
      <c r="AU503" s="5">
        <v>0.0</v>
      </c>
      <c r="AV503" s="5">
        <v>0.0</v>
      </c>
      <c r="AW503" s="5">
        <v>0.0</v>
      </c>
      <c r="AX503" s="5">
        <v>1.0887</v>
      </c>
      <c r="AY503" s="5">
        <v>2.2204</v>
      </c>
      <c r="AZ503" s="5">
        <v>3.1623</v>
      </c>
      <c r="BA503" s="5">
        <v>1.1412</v>
      </c>
      <c r="BB503" s="5">
        <v>1.1993</v>
      </c>
      <c r="BC503" s="5">
        <v>1.1658</v>
      </c>
      <c r="BD503" s="5">
        <v>0.0</v>
      </c>
      <c r="BE503" s="5">
        <v>1.138</v>
      </c>
      <c r="BF503" s="5">
        <v>1.1234</v>
      </c>
      <c r="BG503" s="5">
        <v>1.1198</v>
      </c>
      <c r="BH503" s="5">
        <v>0.0</v>
      </c>
      <c r="BI503" s="5">
        <v>0.0</v>
      </c>
      <c r="BJ503" s="5">
        <v>0.0</v>
      </c>
      <c r="BK503" s="5">
        <v>0.0</v>
      </c>
      <c r="BL503" s="5">
        <v>0.0</v>
      </c>
      <c r="BM503" s="5">
        <v>1.0866</v>
      </c>
      <c r="BN503" s="5">
        <v>1.105</v>
      </c>
      <c r="BO503" s="5">
        <v>1.0705</v>
      </c>
      <c r="BP503" s="5">
        <v>1.0389</v>
      </c>
      <c r="BQ503" s="5">
        <v>1.172</v>
      </c>
      <c r="BR503" s="5">
        <v>1.175</v>
      </c>
    </row>
    <row r="504" ht="15.75" customHeight="1">
      <c r="A504" s="4" t="str">
        <f t="shared" si="1"/>
        <v>Liabilities|Portfolio investment, Debt securities, Positions, Derived using counterparty information|Denmark|Half-yearly, semester</v>
      </c>
      <c r="B504" s="4" t="s">
        <v>72</v>
      </c>
      <c r="C504" s="4" t="s">
        <v>846</v>
      </c>
      <c r="D504" s="4" t="s">
        <v>74</v>
      </c>
      <c r="E504" s="4" t="s">
        <v>75</v>
      </c>
      <c r="F504" s="4" t="s">
        <v>76</v>
      </c>
      <c r="G504" s="4" t="s">
        <v>571</v>
      </c>
      <c r="H504" s="4" t="s">
        <v>78</v>
      </c>
      <c r="I504" s="4" t="s">
        <v>78</v>
      </c>
      <c r="J504" s="4" t="s">
        <v>608</v>
      </c>
      <c r="K504" s="4" t="s">
        <v>80</v>
      </c>
      <c r="L504" s="4" t="s">
        <v>81</v>
      </c>
      <c r="N504" s="5">
        <v>19.0448285965426</v>
      </c>
      <c r="V504" s="5">
        <v>30.7985016945122</v>
      </c>
      <c r="X504" s="5">
        <v>28.9458077998362</v>
      </c>
      <c r="Z504" s="5">
        <v>28.7028333557137</v>
      </c>
      <c r="AB504" s="5">
        <v>17.1921866998317</v>
      </c>
      <c r="AD504" s="5">
        <v>3.63688113723692</v>
      </c>
      <c r="AF504" s="5">
        <v>4.59250362101247</v>
      </c>
      <c r="AH504" s="5">
        <v>4.92581719307233</v>
      </c>
      <c r="AJ504" s="5">
        <v>8.13638857878106</v>
      </c>
      <c r="AL504" s="5">
        <v>6.16558447814108</v>
      </c>
      <c r="AN504" s="5">
        <v>4.45370815741186</v>
      </c>
      <c r="AP504" s="5">
        <v>7.13589529379003</v>
      </c>
      <c r="AR504" s="5">
        <v>7.59838136806206</v>
      </c>
      <c r="AS504" s="5">
        <v>15.8874262369496</v>
      </c>
      <c r="AT504" s="5">
        <v>9.42228462689601</v>
      </c>
      <c r="AU504" s="5">
        <v>56.6048104929565</v>
      </c>
      <c r="AV504" s="5">
        <v>40.1868853530238</v>
      </c>
      <c r="AW504" s="5">
        <v>45.1436798848161</v>
      </c>
      <c r="AX504" s="5">
        <v>62.9575402635432</v>
      </c>
      <c r="AY504" s="5">
        <v>49.9932844841738</v>
      </c>
      <c r="AZ504" s="5">
        <v>29.2082577132486</v>
      </c>
      <c r="BA504" s="5">
        <v>33.760454231566</v>
      </c>
      <c r="BB504" s="5">
        <v>18.5253797702853</v>
      </c>
      <c r="BC504" s="5">
        <v>16.4252416856991</v>
      </c>
      <c r="BD504" s="5">
        <v>15.645611559346</v>
      </c>
      <c r="BE504" s="5">
        <v>19.0592361058169</v>
      </c>
      <c r="BF504" s="5">
        <v>21.1207477643464</v>
      </c>
      <c r="BG504" s="5">
        <v>30.5020059200938</v>
      </c>
      <c r="BH504" s="5">
        <v>52.3309561542525</v>
      </c>
      <c r="BI504" s="5">
        <v>74.9524555319387</v>
      </c>
      <c r="BJ504" s="5">
        <v>85.350240809608</v>
      </c>
      <c r="BK504" s="5">
        <v>47.6123987712929</v>
      </c>
      <c r="BL504" s="5">
        <v>67.9842804279854</v>
      </c>
      <c r="BM504" s="5">
        <v>40.9985555669035</v>
      </c>
      <c r="BN504" s="5">
        <v>37.8074636381159</v>
      </c>
      <c r="BO504" s="5">
        <v>41.1977491961415</v>
      </c>
      <c r="BP504" s="5">
        <v>38.2197706813759</v>
      </c>
      <c r="BQ504" s="5">
        <v>30.1602262016965</v>
      </c>
      <c r="BR504" s="5">
        <v>30.3807829741685</v>
      </c>
    </row>
    <row r="505" ht="15.75" customHeight="1">
      <c r="A505" s="4" t="str">
        <f t="shared" si="1"/>
        <v>Liabilities|Portfolio investment, Debt securities, Positions, Derived using counterparty information|SEFER + SSIO|Half-yearly, semester</v>
      </c>
      <c r="B505" s="4" t="s">
        <v>72</v>
      </c>
      <c r="C505" s="4" t="s">
        <v>847</v>
      </c>
      <c r="D505" s="4" t="s">
        <v>74</v>
      </c>
      <c r="E505" s="4" t="s">
        <v>75</v>
      </c>
      <c r="F505" s="4" t="s">
        <v>76</v>
      </c>
      <c r="G505" s="4" t="s">
        <v>571</v>
      </c>
      <c r="H505" s="4" t="s">
        <v>78</v>
      </c>
      <c r="I505" s="4" t="s">
        <v>78</v>
      </c>
      <c r="J505" s="4" t="s">
        <v>798</v>
      </c>
      <c r="K505" s="4" t="s">
        <v>80</v>
      </c>
      <c r="L505" s="4" t="s">
        <v>81</v>
      </c>
      <c r="N505" s="5">
        <v>577.0</v>
      </c>
      <c r="V505" s="5">
        <v>560.94274</v>
      </c>
      <c r="AD505" s="5">
        <v>577.642730200895</v>
      </c>
      <c r="AF505" s="5">
        <v>464.277344</v>
      </c>
      <c r="AH505" s="5">
        <v>777.79134849</v>
      </c>
      <c r="AW505" s="5">
        <v>2740.54967732788</v>
      </c>
      <c r="BF505" s="5">
        <v>4095.975589</v>
      </c>
      <c r="BG505" s="5">
        <v>1907.755955</v>
      </c>
      <c r="BH505" s="5">
        <v>6848.532475</v>
      </c>
      <c r="BI505" s="5">
        <v>4704.601971</v>
      </c>
      <c r="BJ505" s="5">
        <v>6569.860953</v>
      </c>
      <c r="BK505" s="5">
        <v>5381.715227</v>
      </c>
      <c r="BL505" s="5">
        <v>5147.569342</v>
      </c>
      <c r="BM505" s="5">
        <v>5116.487733</v>
      </c>
      <c r="BN505" s="5">
        <v>7505.716774</v>
      </c>
      <c r="BO505" s="5">
        <v>10248.616901</v>
      </c>
      <c r="BP505" s="5">
        <v>8114.63934</v>
      </c>
      <c r="BQ505" s="5">
        <v>5525.56927712972</v>
      </c>
      <c r="BR505" s="5">
        <v>6165.35462164187</v>
      </c>
    </row>
    <row r="506" ht="15.75" customHeight="1">
      <c r="A506" s="4" t="str">
        <f t="shared" si="1"/>
        <v>Liabilities|Portfolio investment, Debt securities, Positions, Derived using counterparty information|Mongolia|Half-yearly, semester</v>
      </c>
      <c r="B506" s="4" t="s">
        <v>72</v>
      </c>
      <c r="C506" s="4" t="s">
        <v>848</v>
      </c>
      <c r="D506" s="4" t="s">
        <v>74</v>
      </c>
      <c r="E506" s="4" t="s">
        <v>75</v>
      </c>
      <c r="F506" s="4" t="s">
        <v>76</v>
      </c>
      <c r="G506" s="4" t="s">
        <v>571</v>
      </c>
      <c r="H506" s="4" t="s">
        <v>78</v>
      </c>
      <c r="I506" s="4" t="s">
        <v>78</v>
      </c>
      <c r="J506" s="4" t="s">
        <v>536</v>
      </c>
      <c r="K506" s="4" t="s">
        <v>80</v>
      </c>
      <c r="L506" s="4" t="s">
        <v>81</v>
      </c>
      <c r="AR506" s="5">
        <v>0.0</v>
      </c>
      <c r="BE506" s="5">
        <v>0.033057322508928</v>
      </c>
      <c r="BF506" s="5">
        <v>0.033057322508928</v>
      </c>
      <c r="BG506" s="5">
        <v>0.033057322508928</v>
      </c>
      <c r="BH506" s="5">
        <v>0.033057322508928</v>
      </c>
      <c r="BI506" s="5">
        <v>0.0216</v>
      </c>
      <c r="BJ506" s="5">
        <v>0.0216</v>
      </c>
      <c r="BK506" s="5">
        <v>0.0216</v>
      </c>
      <c r="BL506" s="5">
        <v>0.0216</v>
      </c>
      <c r="BM506" s="5">
        <v>0.0216</v>
      </c>
      <c r="BN506" s="5">
        <v>0.0216</v>
      </c>
      <c r="BO506" s="5">
        <v>0.0216</v>
      </c>
      <c r="BP506" s="5">
        <v>0.0334289996108574</v>
      </c>
      <c r="BQ506" s="5">
        <v>0.0334289996108574</v>
      </c>
      <c r="BR506" s="5">
        <v>0.0313499996108574</v>
      </c>
    </row>
    <row r="507" ht="15.75" customHeight="1">
      <c r="A507" s="4" t="str">
        <f t="shared" si="1"/>
        <v>Liabilities|Portfolio investment, Debt securities, Positions, Derived using counterparty information|Iceland|Half-yearly, semester</v>
      </c>
      <c r="B507" s="4" t="s">
        <v>72</v>
      </c>
      <c r="C507" s="4" t="s">
        <v>849</v>
      </c>
      <c r="D507" s="4" t="s">
        <v>74</v>
      </c>
      <c r="E507" s="4" t="s">
        <v>75</v>
      </c>
      <c r="F507" s="4" t="s">
        <v>76</v>
      </c>
      <c r="G507" s="4" t="s">
        <v>571</v>
      </c>
      <c r="H507" s="4" t="s">
        <v>78</v>
      </c>
      <c r="I507" s="4" t="s">
        <v>78</v>
      </c>
      <c r="J507" s="4" t="s">
        <v>107</v>
      </c>
      <c r="K507" s="4" t="s">
        <v>80</v>
      </c>
      <c r="L507" s="4" t="s">
        <v>81</v>
      </c>
      <c r="N507" s="5">
        <v>0.0</v>
      </c>
      <c r="V507" s="5">
        <v>0.0</v>
      </c>
      <c r="X507" s="5">
        <v>0.0</v>
      </c>
      <c r="Z507" s="5">
        <v>0.0</v>
      </c>
      <c r="AB507" s="5">
        <v>0.0</v>
      </c>
      <c r="AD507" s="5">
        <v>0.0</v>
      </c>
      <c r="AF507" s="5">
        <v>0.0</v>
      </c>
      <c r="AH507" s="5">
        <v>0.0</v>
      </c>
      <c r="AJ507" s="5">
        <v>0.0</v>
      </c>
      <c r="AL507" s="5">
        <v>0.0</v>
      </c>
      <c r="AN507" s="5">
        <v>0.0</v>
      </c>
      <c r="AP507" s="5">
        <v>0.0</v>
      </c>
      <c r="AR507" s="5">
        <v>0.0</v>
      </c>
      <c r="AS507" s="5">
        <v>0.0</v>
      </c>
      <c r="AT507" s="5">
        <v>0.0</v>
      </c>
      <c r="AU507" s="5">
        <v>0.0</v>
      </c>
      <c r="AV507" s="5">
        <v>0.0</v>
      </c>
      <c r="AW507" s="5">
        <v>0.0</v>
      </c>
      <c r="AX507" s="5">
        <v>0.0</v>
      </c>
      <c r="AY507" s="5">
        <v>0.0</v>
      </c>
      <c r="AZ507" s="5">
        <v>0.0</v>
      </c>
      <c r="BA507" s="5">
        <v>0.0</v>
      </c>
      <c r="BB507" s="5">
        <v>0.0</v>
      </c>
      <c r="BC507" s="5">
        <v>0.0</v>
      </c>
      <c r="BD507" s="5">
        <v>0.0</v>
      </c>
      <c r="BE507" s="5">
        <v>0.0</v>
      </c>
      <c r="BF507" s="5">
        <v>0.0</v>
      </c>
      <c r="BG507" s="5">
        <v>0.0</v>
      </c>
      <c r="BH507" s="5">
        <v>0.0</v>
      </c>
      <c r="BI507" s="5">
        <v>0.0</v>
      </c>
      <c r="BJ507" s="5">
        <v>0.0</v>
      </c>
      <c r="BK507" s="5">
        <v>0.0</v>
      </c>
      <c r="BL507" s="5">
        <v>0.0</v>
      </c>
      <c r="BM507" s="5">
        <v>0.0</v>
      </c>
      <c r="BN507" s="5">
        <v>0.0</v>
      </c>
      <c r="BO507" s="5">
        <v>0.0</v>
      </c>
      <c r="BP507" s="5">
        <v>0.0</v>
      </c>
      <c r="BQ507" s="5">
        <v>0.0</v>
      </c>
      <c r="BR507" s="5">
        <v>0.0</v>
      </c>
    </row>
    <row r="508" ht="15.75" customHeight="1">
      <c r="A508" s="4" t="str">
        <f t="shared" si="1"/>
        <v>Liabilities|Portfolio investment, Debt securities, Positions, Derived using counterparty information|Chile|Half-yearly, semester</v>
      </c>
      <c r="B508" s="4" t="s">
        <v>72</v>
      </c>
      <c r="C508" s="4" t="s">
        <v>850</v>
      </c>
      <c r="D508" s="4" t="s">
        <v>74</v>
      </c>
      <c r="E508" s="4" t="s">
        <v>75</v>
      </c>
      <c r="F508" s="4" t="s">
        <v>76</v>
      </c>
      <c r="G508" s="4" t="s">
        <v>571</v>
      </c>
      <c r="H508" s="4" t="s">
        <v>78</v>
      </c>
      <c r="I508" s="4" t="s">
        <v>78</v>
      </c>
      <c r="J508" s="4" t="s">
        <v>135</v>
      </c>
      <c r="K508" s="4" t="s">
        <v>80</v>
      </c>
      <c r="L508" s="4" t="s">
        <v>81</v>
      </c>
      <c r="N508" s="5">
        <v>0.0</v>
      </c>
      <c r="V508" s="5">
        <v>0.0</v>
      </c>
      <c r="X508" s="5">
        <v>5.62747063299944</v>
      </c>
      <c r="Z508" s="5">
        <v>3.4453098575778</v>
      </c>
      <c r="AB508" s="5">
        <v>4.04759564585576</v>
      </c>
      <c r="AD508" s="5">
        <v>0.112070450731707</v>
      </c>
      <c r="AF508" s="5">
        <v>0.0</v>
      </c>
      <c r="AH508" s="5">
        <v>0.0</v>
      </c>
      <c r="AJ508" s="5">
        <v>0.0</v>
      </c>
      <c r="AL508" s="5">
        <v>0.0</v>
      </c>
      <c r="AN508" s="5">
        <v>4.56684458954708</v>
      </c>
      <c r="AP508" s="5">
        <v>0.0</v>
      </c>
      <c r="AR508" s="5">
        <v>0.621479772644577</v>
      </c>
      <c r="AS508" s="5">
        <v>0.813090696644457</v>
      </c>
      <c r="AT508" s="5">
        <v>8.86939271</v>
      </c>
      <c r="AU508" s="5">
        <v>23.10046717</v>
      </c>
      <c r="AV508" s="5">
        <v>22.04815156</v>
      </c>
      <c r="AW508" s="5">
        <v>17.31852357</v>
      </c>
      <c r="AX508" s="5">
        <v>11.17154756</v>
      </c>
      <c r="AY508" s="5">
        <v>18.61847538</v>
      </c>
      <c r="AZ508" s="5">
        <v>18.05986122</v>
      </c>
      <c r="BA508" s="5">
        <v>21.2456231</v>
      </c>
      <c r="BB508" s="5">
        <v>35.90354595</v>
      </c>
      <c r="BC508" s="5">
        <v>23.89409177</v>
      </c>
      <c r="BD508" s="5">
        <v>24.38959192</v>
      </c>
      <c r="BE508" s="5">
        <v>15.24366626</v>
      </c>
      <c r="BF508" s="5">
        <v>15.61023775</v>
      </c>
      <c r="BG508" s="5">
        <v>33.73270953</v>
      </c>
      <c r="BH508" s="5">
        <v>14.03740285</v>
      </c>
      <c r="BI508" s="5">
        <v>9.2566095</v>
      </c>
      <c r="BJ508" s="5">
        <v>9.60118826</v>
      </c>
      <c r="BK508" s="5">
        <v>8.59593679</v>
      </c>
      <c r="BL508" s="5">
        <v>9.81989764535228</v>
      </c>
      <c r="BM508" s="5">
        <v>11.7490074305132</v>
      </c>
      <c r="BN508" s="5">
        <v>14.0373136712951</v>
      </c>
      <c r="BO508" s="5">
        <v>14.5670387180194</v>
      </c>
      <c r="BP508" s="5">
        <v>14.1661755924077</v>
      </c>
      <c r="BQ508" s="5">
        <v>14.1034008127702</v>
      </c>
      <c r="BR508" s="5">
        <v>11.7800203384292</v>
      </c>
    </row>
    <row r="509" ht="15.75" customHeight="1">
      <c r="A509" s="4" t="str">
        <f t="shared" si="1"/>
        <v>Liabilities|Portfolio investment, Debt securities, Positions, Derived using counterparty information|Colombia|Half-yearly, semester</v>
      </c>
      <c r="B509" s="4" t="s">
        <v>72</v>
      </c>
      <c r="C509" s="4" t="s">
        <v>851</v>
      </c>
      <c r="D509" s="4" t="s">
        <v>74</v>
      </c>
      <c r="E509" s="4" t="s">
        <v>75</v>
      </c>
      <c r="F509" s="4" t="s">
        <v>76</v>
      </c>
      <c r="G509" s="4" t="s">
        <v>571</v>
      </c>
      <c r="H509" s="4" t="s">
        <v>78</v>
      </c>
      <c r="I509" s="4" t="s">
        <v>78</v>
      </c>
      <c r="J509" s="4" t="s">
        <v>302</v>
      </c>
      <c r="K509" s="4" t="s">
        <v>80</v>
      </c>
      <c r="L509" s="4" t="s">
        <v>81</v>
      </c>
      <c r="X509" s="5">
        <v>0.0</v>
      </c>
      <c r="AB509" s="5">
        <v>9.70886690125673</v>
      </c>
      <c r="AH509" s="5">
        <v>14.0630175</v>
      </c>
      <c r="AJ509" s="5">
        <v>5.998008</v>
      </c>
      <c r="AL509" s="5">
        <v>3.57767497330011</v>
      </c>
      <c r="AN509" s="5">
        <v>21.0557725770428</v>
      </c>
      <c r="AP509" s="5">
        <v>9.30861246106223</v>
      </c>
      <c r="AR509" s="5">
        <v>14.611226920095</v>
      </c>
      <c r="AT509" s="5">
        <v>7.35221614562077</v>
      </c>
      <c r="AU509" s="5">
        <v>7.01969245597126</v>
      </c>
      <c r="AV509" s="5">
        <v>16.4520334374187</v>
      </c>
      <c r="AW509" s="5">
        <v>54.0162483758463</v>
      </c>
      <c r="AX509" s="5">
        <v>35.7349869407009</v>
      </c>
      <c r="AY509" s="5">
        <v>18.3426193646634</v>
      </c>
      <c r="AZ509" s="5">
        <v>0.0</v>
      </c>
      <c r="BA509" s="5">
        <v>6.22404891601584</v>
      </c>
      <c r="BB509" s="5">
        <v>0.0</v>
      </c>
      <c r="BC509" s="5">
        <v>0.0</v>
      </c>
      <c r="BD509" s="5">
        <v>0.0</v>
      </c>
      <c r="BE509" s="5">
        <v>0.0</v>
      </c>
      <c r="BF509" s="5">
        <v>6.34649989897403</v>
      </c>
      <c r="BG509" s="5">
        <v>48.0462314202007</v>
      </c>
      <c r="BH509" s="5">
        <v>54.7886485976783</v>
      </c>
      <c r="BI509" s="5">
        <v>50.2559313534973</v>
      </c>
      <c r="BJ509" s="5">
        <v>86.025294955289</v>
      </c>
      <c r="BK509" s="5">
        <v>68.5734198976517</v>
      </c>
      <c r="BL509" s="5">
        <v>69.5425675479716</v>
      </c>
      <c r="BM509" s="5">
        <v>82.8541138660871</v>
      </c>
      <c r="BN509" s="5">
        <v>85.7019459251904</v>
      </c>
      <c r="BO509" s="5">
        <v>55.1559215862798</v>
      </c>
      <c r="BP509" s="5">
        <v>30.570237997028</v>
      </c>
      <c r="BQ509" s="5">
        <v>53.9056280064764</v>
      </c>
      <c r="BR509" s="5">
        <v>63.0420788531022</v>
      </c>
    </row>
    <row r="510" ht="15.75" customHeight="1">
      <c r="A510" s="4" t="str">
        <f t="shared" si="1"/>
        <v>Liabilities|Portfolio investment, Debt securities, Positions, Derived using counterparty information|United Kingdom|Half-yearly, semester</v>
      </c>
      <c r="B510" s="4" t="s">
        <v>72</v>
      </c>
      <c r="C510" s="4" t="s">
        <v>852</v>
      </c>
      <c r="D510" s="4" t="s">
        <v>74</v>
      </c>
      <c r="E510" s="4" t="s">
        <v>75</v>
      </c>
      <c r="F510" s="4" t="s">
        <v>76</v>
      </c>
      <c r="G510" s="4" t="s">
        <v>571</v>
      </c>
      <c r="H510" s="4" t="s">
        <v>78</v>
      </c>
      <c r="I510" s="4" t="s">
        <v>78</v>
      </c>
      <c r="J510" s="4" t="s">
        <v>606</v>
      </c>
      <c r="K510" s="4" t="s">
        <v>80</v>
      </c>
      <c r="L510" s="4" t="s">
        <v>81</v>
      </c>
      <c r="N510" s="5">
        <v>1836.2869072</v>
      </c>
      <c r="V510" s="5">
        <v>1760.7856</v>
      </c>
      <c r="AB510" s="5">
        <v>4726.52587397199</v>
      </c>
      <c r="AD510" s="5">
        <v>2731.01465236388</v>
      </c>
      <c r="AF510" s="5">
        <v>3444.01312944964</v>
      </c>
      <c r="AH510" s="5">
        <v>4733.88947283181</v>
      </c>
      <c r="AJ510" s="5">
        <v>3009.81492842782</v>
      </c>
      <c r="AL510" s="5">
        <v>3732.95995926018</v>
      </c>
      <c r="AN510" s="5">
        <v>5327.86615</v>
      </c>
      <c r="AP510" s="5">
        <v>4178.48986</v>
      </c>
      <c r="AR510" s="5">
        <v>4277.8002</v>
      </c>
      <c r="AS510" s="5">
        <v>4787.8565</v>
      </c>
      <c r="AT510" s="5">
        <v>5901.14312</v>
      </c>
      <c r="AU510" s="5">
        <v>4543.40485</v>
      </c>
      <c r="AV510" s="5">
        <v>4446.40704</v>
      </c>
      <c r="AW510" s="5">
        <v>4406.69848</v>
      </c>
      <c r="AX510" s="5">
        <v>5029.12403</v>
      </c>
      <c r="AY510" s="5">
        <v>5300.24448</v>
      </c>
      <c r="AZ510" s="5">
        <v>3502.3794</v>
      </c>
      <c r="BA510" s="5">
        <v>3819.702335</v>
      </c>
      <c r="BB510" s="5">
        <v>3568.252035</v>
      </c>
      <c r="BC510" s="5">
        <v>3616.77877</v>
      </c>
      <c r="BD510" s="5">
        <v>3817.02903</v>
      </c>
      <c r="BE510" s="5">
        <v>3882.375</v>
      </c>
      <c r="BF510" s="5">
        <v>3940.38645</v>
      </c>
      <c r="BG510" s="5">
        <v>3592.434285</v>
      </c>
      <c r="BH510" s="5">
        <v>4081.9614</v>
      </c>
      <c r="BI510" s="5">
        <v>2937.01518</v>
      </c>
      <c r="BJ510" s="5">
        <v>3163.97568</v>
      </c>
      <c r="BK510" s="5">
        <v>3313.74894</v>
      </c>
      <c r="BL510" s="5">
        <v>2056.50788</v>
      </c>
      <c r="BM510" s="5">
        <v>2231.74602920828</v>
      </c>
      <c r="BN510" s="5">
        <v>2789.0745</v>
      </c>
      <c r="BO510" s="5">
        <v>2798.5166845</v>
      </c>
      <c r="BP510" s="5">
        <v>2862.456553</v>
      </c>
      <c r="BQ510" s="5">
        <v>2594.568375</v>
      </c>
      <c r="BR510" s="5">
        <v>2613.32721</v>
      </c>
    </row>
    <row r="511" ht="15.75" customHeight="1">
      <c r="A511" s="4" t="str">
        <f t="shared" si="1"/>
        <v>Liabilities|Portfolio investment, Debt securities, Positions, Derived using counterparty information|Romania|Half-yearly, semester</v>
      </c>
      <c r="B511" s="4" t="s">
        <v>72</v>
      </c>
      <c r="C511" s="4" t="s">
        <v>853</v>
      </c>
      <c r="D511" s="4" t="s">
        <v>74</v>
      </c>
      <c r="E511" s="4" t="s">
        <v>75</v>
      </c>
      <c r="F511" s="4" t="s">
        <v>76</v>
      </c>
      <c r="G511" s="4" t="s">
        <v>571</v>
      </c>
      <c r="H511" s="4" t="s">
        <v>78</v>
      </c>
      <c r="I511" s="4" t="s">
        <v>78</v>
      </c>
      <c r="J511" s="4" t="s">
        <v>540</v>
      </c>
      <c r="K511" s="4" t="s">
        <v>80</v>
      </c>
      <c r="L511" s="4" t="s">
        <v>81</v>
      </c>
      <c r="AF511" s="5">
        <v>0.0</v>
      </c>
      <c r="AH511" s="5">
        <v>0.0</v>
      </c>
      <c r="BN511" s="5">
        <v>0.0134414852</v>
      </c>
      <c r="BP511" s="5">
        <v>0.017886824412</v>
      </c>
      <c r="BQ511" s="5">
        <v>0.0252543732</v>
      </c>
      <c r="BR511" s="5">
        <v>0.0354832845</v>
      </c>
    </row>
    <row r="512" ht="15.75" customHeight="1">
      <c r="A512" s="4" t="str">
        <f t="shared" si="1"/>
        <v>Liabilities|Portfolio investment, Debt securities, Positions, Derived using counterparty information|Mauritius|Half-yearly, semester</v>
      </c>
      <c r="B512" s="4" t="s">
        <v>72</v>
      </c>
      <c r="C512" s="4" t="s">
        <v>854</v>
      </c>
      <c r="D512" s="4" t="s">
        <v>74</v>
      </c>
      <c r="E512" s="4" t="s">
        <v>75</v>
      </c>
      <c r="F512" s="4" t="s">
        <v>76</v>
      </c>
      <c r="G512" s="4" t="s">
        <v>571</v>
      </c>
      <c r="H512" s="4" t="s">
        <v>78</v>
      </c>
      <c r="I512" s="4" t="s">
        <v>78</v>
      </c>
      <c r="J512" s="4" t="s">
        <v>428</v>
      </c>
      <c r="K512" s="4" t="s">
        <v>80</v>
      </c>
      <c r="L512" s="4" t="s">
        <v>81</v>
      </c>
      <c r="Z512" s="5">
        <v>0.3</v>
      </c>
      <c r="AB512" s="5">
        <v>3.3</v>
      </c>
      <c r="AD512" s="5">
        <v>3.0</v>
      </c>
      <c r="AF512" s="5">
        <v>0.0</v>
      </c>
      <c r="AH512" s="5">
        <v>82.0</v>
      </c>
      <c r="AJ512" s="5">
        <v>0.1</v>
      </c>
      <c r="AL512" s="5">
        <v>77.5</v>
      </c>
      <c r="AN512" s="5">
        <v>1.0</v>
      </c>
      <c r="AP512" s="5">
        <v>0.0</v>
      </c>
      <c r="AT512" s="5">
        <v>0.0</v>
      </c>
      <c r="AU512" s="5">
        <v>0.4</v>
      </c>
      <c r="AV512" s="5">
        <v>1.2</v>
      </c>
      <c r="AW512" s="5">
        <v>0.2</v>
      </c>
      <c r="AX512" s="5">
        <v>0.0</v>
      </c>
      <c r="AY512" s="5">
        <v>0.0</v>
      </c>
      <c r="AZ512" s="5">
        <v>0.1</v>
      </c>
      <c r="BA512" s="5">
        <v>1.0</v>
      </c>
      <c r="BB512" s="5">
        <v>0.0</v>
      </c>
      <c r="BC512" s="5">
        <v>0.1</v>
      </c>
      <c r="BD512" s="5">
        <v>0.0</v>
      </c>
      <c r="BE512" s="5">
        <v>0.0</v>
      </c>
      <c r="BF512" s="5">
        <v>0.0</v>
      </c>
      <c r="BG512" s="5">
        <v>0.0</v>
      </c>
      <c r="BH512" s="5">
        <v>0.0</v>
      </c>
      <c r="BI512" s="5">
        <v>0.0</v>
      </c>
      <c r="BJ512" s="5">
        <v>0.0</v>
      </c>
      <c r="BK512" s="5">
        <v>0.0</v>
      </c>
      <c r="BL512" s="5">
        <v>0.0</v>
      </c>
      <c r="BM512" s="5">
        <v>0.0</v>
      </c>
      <c r="BN512" s="5">
        <v>0.0</v>
      </c>
      <c r="BO512" s="5">
        <v>0.0</v>
      </c>
      <c r="BP512" s="5">
        <v>0.0</v>
      </c>
      <c r="BQ512" s="5">
        <v>0.0</v>
      </c>
      <c r="BR512" s="5">
        <v>0.0</v>
      </c>
    </row>
    <row r="513" ht="15.75" customHeight="1">
      <c r="A513" s="4" t="str">
        <f t="shared" si="1"/>
        <v>Liabilities|Portfolio investment, Debt securities, Positions, Derived using counterparty information|North Macedonia, Republic of|Half-yearly, semester</v>
      </c>
      <c r="B513" s="4" t="s">
        <v>72</v>
      </c>
      <c r="C513" s="4" t="s">
        <v>855</v>
      </c>
      <c r="D513" s="4" t="s">
        <v>74</v>
      </c>
      <c r="E513" s="4" t="s">
        <v>75</v>
      </c>
      <c r="F513" s="4" t="s">
        <v>76</v>
      </c>
      <c r="G513" s="4" t="s">
        <v>571</v>
      </c>
      <c r="H513" s="4" t="s">
        <v>78</v>
      </c>
      <c r="I513" s="4" t="s">
        <v>78</v>
      </c>
      <c r="J513" s="4" t="s">
        <v>432</v>
      </c>
      <c r="K513" s="4" t="s">
        <v>80</v>
      </c>
      <c r="L513" s="4" t="s">
        <v>81</v>
      </c>
      <c r="AZ513" s="5">
        <v>0.0</v>
      </c>
      <c r="BA513" s="5">
        <v>0.0</v>
      </c>
      <c r="BB513" s="5">
        <v>0.0</v>
      </c>
      <c r="BC513" s="5">
        <v>0.0</v>
      </c>
      <c r="BD513" s="5">
        <v>0.0</v>
      </c>
      <c r="BE513" s="5">
        <v>0.0</v>
      </c>
      <c r="BF513" s="5">
        <v>0.0</v>
      </c>
      <c r="BG513" s="5">
        <v>0.0</v>
      </c>
      <c r="BH513" s="5">
        <v>0.0</v>
      </c>
      <c r="BI513" s="5">
        <v>0.0</v>
      </c>
      <c r="BJ513" s="5">
        <v>0.0</v>
      </c>
      <c r="BK513" s="5">
        <v>0.0</v>
      </c>
      <c r="BL513" s="5">
        <v>0.0</v>
      </c>
      <c r="BM513" s="5">
        <v>0.0</v>
      </c>
      <c r="BN513" s="5">
        <v>0.0</v>
      </c>
      <c r="BO513" s="5">
        <v>0.0</v>
      </c>
      <c r="BP513" s="5">
        <v>0.0</v>
      </c>
      <c r="BQ513" s="5">
        <v>0.0</v>
      </c>
      <c r="BR513" s="5">
        <v>0.0</v>
      </c>
    </row>
    <row r="514" ht="15.75" customHeight="1">
      <c r="A514" s="4" t="str">
        <f t="shared" si="1"/>
        <v>Liabilities|Portfolio investment, Debt securities, Long-term, Positions, Derived using counterparty information|Kazakhstan, Republic of|Half-yearly, semester</v>
      </c>
      <c r="B514" s="4" t="s">
        <v>72</v>
      </c>
      <c r="C514" s="4" t="s">
        <v>856</v>
      </c>
      <c r="D514" s="4" t="s">
        <v>74</v>
      </c>
      <c r="E514" s="4" t="s">
        <v>75</v>
      </c>
      <c r="F514" s="4" t="s">
        <v>76</v>
      </c>
      <c r="G514" s="4" t="s">
        <v>549</v>
      </c>
      <c r="H514" s="4" t="s">
        <v>78</v>
      </c>
      <c r="I514" s="4" t="s">
        <v>78</v>
      </c>
      <c r="J514" s="4" t="s">
        <v>204</v>
      </c>
      <c r="K514" s="4" t="s">
        <v>80</v>
      </c>
      <c r="L514" s="4" t="s">
        <v>81</v>
      </c>
      <c r="AB514" s="5">
        <v>3.69</v>
      </c>
      <c r="AD514" s="5">
        <v>7.71945895</v>
      </c>
      <c r="AF514" s="5">
        <v>8.89895936</v>
      </c>
      <c r="AH514" s="5">
        <v>0.0</v>
      </c>
      <c r="AJ514" s="5">
        <v>0.0</v>
      </c>
      <c r="AL514" s="5">
        <v>0.0</v>
      </c>
      <c r="AN514" s="5">
        <v>0.0</v>
      </c>
      <c r="AP514" s="5">
        <v>0.0</v>
      </c>
      <c r="AR514" s="5">
        <v>0.0</v>
      </c>
      <c r="AS514" s="5">
        <v>0.0</v>
      </c>
      <c r="AT514" s="5">
        <v>0.0</v>
      </c>
      <c r="AU514" s="5">
        <v>5.9120867</v>
      </c>
      <c r="AV514" s="5">
        <v>10.39395785</v>
      </c>
      <c r="AW514" s="5">
        <v>18.54163959</v>
      </c>
      <c r="AX514" s="5">
        <v>25.18653916</v>
      </c>
      <c r="AY514" s="5">
        <v>31.15777062</v>
      </c>
      <c r="AZ514" s="5">
        <v>11.31138753</v>
      </c>
      <c r="BA514" s="5">
        <v>14.87286094</v>
      </c>
      <c r="BB514" s="5">
        <v>35.25410274</v>
      </c>
      <c r="BC514" s="5">
        <v>83.72658151</v>
      </c>
      <c r="BD514" s="5">
        <v>83.74860844</v>
      </c>
      <c r="BE514" s="5">
        <v>86.46745066</v>
      </c>
      <c r="BF514" s="5">
        <v>86.92082563</v>
      </c>
      <c r="BG514" s="5">
        <v>16.54532404</v>
      </c>
      <c r="BH514" s="5">
        <v>52.79704396</v>
      </c>
      <c r="BI514" s="5">
        <v>36.09027156</v>
      </c>
      <c r="BJ514" s="5">
        <v>40.42603921</v>
      </c>
      <c r="BK514" s="5">
        <v>6.81617862</v>
      </c>
      <c r="BL514" s="5">
        <v>18.35750645</v>
      </c>
      <c r="BM514" s="5">
        <v>18.06960161</v>
      </c>
      <c r="BN514" s="5">
        <v>23.41545225</v>
      </c>
      <c r="BO514" s="5">
        <v>27.33245954</v>
      </c>
      <c r="BP514" s="5">
        <v>22.40940906</v>
      </c>
      <c r="BQ514" s="5">
        <v>20.60914382</v>
      </c>
      <c r="BR514" s="5">
        <v>8.52204111</v>
      </c>
    </row>
    <row r="515" ht="15.75" customHeight="1">
      <c r="A515" s="4" t="str">
        <f t="shared" si="1"/>
        <v>Liabilities|Portfolio investment, Debt securities, Positions, Derived using counterparty information|Argentina|Half-yearly, semester</v>
      </c>
      <c r="B515" s="4" t="s">
        <v>72</v>
      </c>
      <c r="C515" s="4" t="s">
        <v>857</v>
      </c>
      <c r="D515" s="4" t="s">
        <v>74</v>
      </c>
      <c r="E515" s="4" t="s">
        <v>75</v>
      </c>
      <c r="F515" s="4" t="s">
        <v>76</v>
      </c>
      <c r="G515" s="4" t="s">
        <v>571</v>
      </c>
      <c r="H515" s="4" t="s">
        <v>78</v>
      </c>
      <c r="I515" s="4" t="s">
        <v>78</v>
      </c>
      <c r="J515" s="4" t="s">
        <v>212</v>
      </c>
      <c r="K515" s="4" t="s">
        <v>80</v>
      </c>
      <c r="L515" s="4" t="s">
        <v>81</v>
      </c>
      <c r="N515" s="5">
        <v>0.0</v>
      </c>
      <c r="V515" s="5">
        <v>0.0</v>
      </c>
      <c r="X515" s="5">
        <v>0.0</v>
      </c>
      <c r="Z515" s="5">
        <v>0.0</v>
      </c>
      <c r="AB515" s="5">
        <v>0.0</v>
      </c>
      <c r="AD515" s="5">
        <v>0.0</v>
      </c>
      <c r="AF515" s="5">
        <v>0.0</v>
      </c>
      <c r="AH515" s="5">
        <v>1.9452598274209</v>
      </c>
      <c r="AJ515" s="5">
        <v>0.0</v>
      </c>
      <c r="AL515" s="5">
        <v>0.0</v>
      </c>
      <c r="AN515" s="5">
        <v>0.0</v>
      </c>
      <c r="AP515" s="5">
        <v>0.0</v>
      </c>
      <c r="AR515" s="5">
        <v>0.0</v>
      </c>
      <c r="AS515" s="5">
        <v>0.0</v>
      </c>
      <c r="AT515" s="5">
        <v>0.0</v>
      </c>
      <c r="AU515" s="5">
        <v>0.0</v>
      </c>
      <c r="AV515" s="5">
        <v>0.0</v>
      </c>
      <c r="AW515" s="5">
        <v>0.0</v>
      </c>
      <c r="AX515" s="5">
        <v>0.0</v>
      </c>
      <c r="AY515" s="5">
        <v>0.0</v>
      </c>
      <c r="AZ515" s="5">
        <v>0.0</v>
      </c>
      <c r="BA515" s="5">
        <v>0.0</v>
      </c>
      <c r="BB515" s="5">
        <v>0.0</v>
      </c>
      <c r="BC515" s="5">
        <v>0.0</v>
      </c>
      <c r="BD515" s="5">
        <v>0.0</v>
      </c>
      <c r="BE515" s="5">
        <v>0.0</v>
      </c>
      <c r="BF515" s="5">
        <v>0.0</v>
      </c>
      <c r="BG515" s="5">
        <v>0.0</v>
      </c>
      <c r="BH515" s="5">
        <v>0.0</v>
      </c>
      <c r="BI515" s="5">
        <v>0.0</v>
      </c>
      <c r="BJ515" s="5">
        <v>0.0</v>
      </c>
      <c r="BK515" s="5">
        <v>0.0</v>
      </c>
      <c r="BL515" s="5">
        <v>0.0</v>
      </c>
      <c r="BM515" s="5">
        <v>0.0</v>
      </c>
      <c r="BN515" s="5">
        <v>0.0</v>
      </c>
      <c r="BO515" s="5">
        <v>0.0</v>
      </c>
      <c r="BP515" s="5">
        <v>0.0</v>
      </c>
      <c r="BQ515" s="5">
        <v>0.0</v>
      </c>
      <c r="BR515" s="5">
        <v>0.0</v>
      </c>
    </row>
    <row r="516" ht="15.75" customHeight="1">
      <c r="A516" s="4" t="str">
        <f t="shared" si="1"/>
        <v>Liabilities|Portfolio investment, Debt securities, Long-term, Positions, Derived using counterparty information|North Macedonia, Republic of|Half-yearly, semester</v>
      </c>
      <c r="B516" s="4" t="s">
        <v>72</v>
      </c>
      <c r="C516" s="4" t="s">
        <v>858</v>
      </c>
      <c r="D516" s="4" t="s">
        <v>74</v>
      </c>
      <c r="E516" s="4" t="s">
        <v>75</v>
      </c>
      <c r="F516" s="4" t="s">
        <v>76</v>
      </c>
      <c r="G516" s="4" t="s">
        <v>549</v>
      </c>
      <c r="H516" s="4" t="s">
        <v>78</v>
      </c>
      <c r="I516" s="4" t="s">
        <v>78</v>
      </c>
      <c r="J516" s="4" t="s">
        <v>432</v>
      </c>
      <c r="K516" s="4" t="s">
        <v>80</v>
      </c>
      <c r="L516" s="4" t="s">
        <v>81</v>
      </c>
      <c r="AZ516" s="5">
        <v>0.0</v>
      </c>
      <c r="BA516" s="5">
        <v>0.0</v>
      </c>
      <c r="BB516" s="5">
        <v>0.0</v>
      </c>
      <c r="BC516" s="5">
        <v>0.0</v>
      </c>
      <c r="BD516" s="5">
        <v>0.0</v>
      </c>
      <c r="BE516" s="5">
        <v>0.0</v>
      </c>
      <c r="BF516" s="5">
        <v>0.0</v>
      </c>
      <c r="BG516" s="5">
        <v>0.0</v>
      </c>
      <c r="BH516" s="5">
        <v>0.0</v>
      </c>
      <c r="BI516" s="5">
        <v>0.0</v>
      </c>
      <c r="BJ516" s="5">
        <v>0.0</v>
      </c>
      <c r="BK516" s="5">
        <v>0.0</v>
      </c>
      <c r="BL516" s="5">
        <v>0.0</v>
      </c>
      <c r="BM516" s="5">
        <v>0.0</v>
      </c>
      <c r="BN516" s="5">
        <v>0.0</v>
      </c>
      <c r="BO516" s="5">
        <v>0.0</v>
      </c>
      <c r="BP516" s="5">
        <v>0.0</v>
      </c>
      <c r="BQ516" s="5">
        <v>0.0</v>
      </c>
      <c r="BR516" s="5">
        <v>0.0</v>
      </c>
    </row>
    <row r="517" ht="15.75" customHeight="1">
      <c r="A517" s="4" t="str">
        <f t="shared" si="1"/>
        <v>Liabilities|Portfolio investment, Debt securities, Positions, Derived using counterparty information|Switzerland|Half-yearly, semester</v>
      </c>
      <c r="B517" s="4" t="s">
        <v>72</v>
      </c>
      <c r="C517" s="4" t="s">
        <v>859</v>
      </c>
      <c r="D517" s="4" t="s">
        <v>74</v>
      </c>
      <c r="E517" s="4" t="s">
        <v>75</v>
      </c>
      <c r="F517" s="4" t="s">
        <v>76</v>
      </c>
      <c r="G517" s="4" t="s">
        <v>571</v>
      </c>
      <c r="H517" s="4" t="s">
        <v>78</v>
      </c>
      <c r="I517" s="4" t="s">
        <v>78</v>
      </c>
      <c r="J517" s="4" t="s">
        <v>614</v>
      </c>
      <c r="K517" s="4" t="s">
        <v>80</v>
      </c>
      <c r="L517" s="4" t="s">
        <v>81</v>
      </c>
      <c r="V517" s="5">
        <v>247.971513024232</v>
      </c>
      <c r="X517" s="5">
        <v>276.664191013814</v>
      </c>
      <c r="Z517" s="5">
        <v>411.613266081231</v>
      </c>
      <c r="AB517" s="5">
        <v>569.641962040213</v>
      </c>
      <c r="AD517" s="5">
        <v>817.30060064935</v>
      </c>
      <c r="AF517" s="5">
        <v>985.826342374474</v>
      </c>
      <c r="AH517" s="5">
        <v>1395.48456597957</v>
      </c>
      <c r="AJ517" s="5">
        <v>563.745390936769</v>
      </c>
      <c r="AL517" s="5">
        <v>733.129055836553</v>
      </c>
      <c r="AN517" s="5">
        <v>1082.82861428928</v>
      </c>
      <c r="AP517" s="5">
        <v>1031.4311733404</v>
      </c>
      <c r="AR517" s="5">
        <v>1867.74983385612</v>
      </c>
      <c r="AS517" s="5">
        <v>2071.85886231808</v>
      </c>
      <c r="AT517" s="5">
        <v>2145.03414660575</v>
      </c>
      <c r="AU517" s="5">
        <v>2571.81877525242</v>
      </c>
      <c r="AV517" s="5">
        <v>1849.28515648881</v>
      </c>
      <c r="AW517" s="5">
        <v>1694.66195796326</v>
      </c>
      <c r="AX517" s="5">
        <v>1608.94986341378</v>
      </c>
      <c r="AY517" s="5">
        <v>1806.10270063215</v>
      </c>
      <c r="AZ517" s="5">
        <v>1698.81216180334</v>
      </c>
      <c r="BA517" s="5">
        <v>2208.87594616934</v>
      </c>
      <c r="BB517" s="5">
        <v>2182.41891559338</v>
      </c>
      <c r="BC517" s="5">
        <v>2417.41390696586</v>
      </c>
      <c r="BD517" s="5">
        <v>2303.93854495158</v>
      </c>
      <c r="BE517" s="5">
        <v>2327.969343154</v>
      </c>
      <c r="BF517" s="5">
        <v>2451.03844564635</v>
      </c>
      <c r="BG517" s="5">
        <v>2459.62612589491</v>
      </c>
      <c r="BH517" s="5">
        <v>2629.64499466568</v>
      </c>
      <c r="BI517" s="5">
        <v>2860.00956230381</v>
      </c>
      <c r="BJ517" s="5">
        <v>3113.96238882037</v>
      </c>
      <c r="BK517" s="5">
        <v>2687.7078940143</v>
      </c>
      <c r="BL517" s="5">
        <v>3045.28216650242</v>
      </c>
      <c r="BM517" s="5">
        <v>3432.38749096462</v>
      </c>
      <c r="BN517" s="5">
        <v>3737.22920858358</v>
      </c>
      <c r="BO517" s="5">
        <v>3333.82756210791</v>
      </c>
      <c r="BP517" s="5">
        <v>3404.44179897915</v>
      </c>
      <c r="BQ517" s="5">
        <v>4486.73777594231</v>
      </c>
      <c r="BR517" s="5">
        <v>4574.62580989459</v>
      </c>
    </row>
    <row r="518" ht="15.75" customHeight="1">
      <c r="A518" s="4" t="str">
        <f t="shared" si="1"/>
        <v>Liabilities|Portfolio investment, Debt securities, Positions, Derived using counterparty information|South Africa|Half-yearly, semester</v>
      </c>
      <c r="B518" s="4" t="s">
        <v>72</v>
      </c>
      <c r="C518" s="4" t="s">
        <v>860</v>
      </c>
      <c r="D518" s="4" t="s">
        <v>74</v>
      </c>
      <c r="E518" s="4" t="s">
        <v>75</v>
      </c>
      <c r="F518" s="4" t="s">
        <v>76</v>
      </c>
      <c r="G518" s="4" t="s">
        <v>571</v>
      </c>
      <c r="H518" s="4" t="s">
        <v>78</v>
      </c>
      <c r="I518" s="4" t="s">
        <v>78</v>
      </c>
      <c r="J518" s="4" t="s">
        <v>644</v>
      </c>
      <c r="K518" s="4" t="s">
        <v>80</v>
      </c>
      <c r="L518" s="4" t="s">
        <v>81</v>
      </c>
      <c r="AF518" s="5">
        <v>1.29124820659971</v>
      </c>
      <c r="AH518" s="5">
        <v>3.08370044052863</v>
      </c>
      <c r="AJ518" s="5">
        <v>0.429876410531972</v>
      </c>
      <c r="AL518" s="5">
        <v>1.49051490514905</v>
      </c>
      <c r="AN518" s="5">
        <v>0.75396586042584</v>
      </c>
      <c r="AR518" s="5">
        <v>6.35208177717132</v>
      </c>
      <c r="AS518" s="5">
        <v>68.489416848793</v>
      </c>
      <c r="AU518" s="5">
        <v>1.88634755953785</v>
      </c>
      <c r="AV518" s="5">
        <v>3.02220456870982</v>
      </c>
      <c r="AW518" s="5">
        <v>3.19716681832714</v>
      </c>
      <c r="AY518" s="5">
        <v>0.0676812079741999</v>
      </c>
      <c r="BD518" s="5">
        <v>0.347786000000001</v>
      </c>
      <c r="BE518" s="5">
        <v>3.1756545</v>
      </c>
      <c r="BH518" s="5">
        <v>0.0</v>
      </c>
      <c r="BI518" s="5">
        <v>2.86865930000453</v>
      </c>
      <c r="BJ518" s="5">
        <v>7.73321910000002</v>
      </c>
      <c r="BK518" s="5">
        <v>5.92826169999998</v>
      </c>
      <c r="BL518" s="5">
        <v>5.11959329999999</v>
      </c>
      <c r="BM518" s="5">
        <v>5.06414399999999</v>
      </c>
      <c r="BN518" s="5">
        <v>0.269961499999999</v>
      </c>
      <c r="BO518" s="5">
        <v>1.208735</v>
      </c>
      <c r="BP518" s="5">
        <v>1.06701</v>
      </c>
      <c r="BQ518" s="5">
        <v>1.2373174</v>
      </c>
      <c r="BR518" s="5">
        <v>0.903181499999998</v>
      </c>
    </row>
    <row r="519" ht="15.75" customHeight="1">
      <c r="A519" s="4" t="str">
        <f t="shared" si="1"/>
        <v>Liabilities|Portfolio investment, Debt securities, Positions, Derived using counterparty information|Guernsey|Half-yearly, semester</v>
      </c>
      <c r="B519" s="4" t="s">
        <v>72</v>
      </c>
      <c r="C519" s="4" t="s">
        <v>861</v>
      </c>
      <c r="D519" s="4" t="s">
        <v>74</v>
      </c>
      <c r="E519" s="4" t="s">
        <v>75</v>
      </c>
      <c r="F519" s="4" t="s">
        <v>76</v>
      </c>
      <c r="G519" s="4" t="s">
        <v>571</v>
      </c>
      <c r="H519" s="4" t="s">
        <v>78</v>
      </c>
      <c r="I519" s="4" t="s">
        <v>78</v>
      </c>
      <c r="J519" s="4" t="s">
        <v>612</v>
      </c>
      <c r="K519" s="4" t="s">
        <v>80</v>
      </c>
      <c r="L519" s="4" t="s">
        <v>81</v>
      </c>
      <c r="V519" s="5">
        <v>0.428993</v>
      </c>
      <c r="X519" s="5">
        <v>185.072978</v>
      </c>
      <c r="Z519" s="5">
        <v>180.600087</v>
      </c>
      <c r="AB519" s="5">
        <v>193.4314681</v>
      </c>
      <c r="AD519" s="5">
        <v>54.077</v>
      </c>
      <c r="AF519" s="5">
        <v>78.38469565</v>
      </c>
      <c r="AH519" s="5">
        <v>70.21152213</v>
      </c>
      <c r="AJ519" s="5">
        <v>37.447</v>
      </c>
      <c r="AL519" s="5">
        <v>135.75508</v>
      </c>
      <c r="AN519" s="5">
        <v>93.61632805</v>
      </c>
      <c r="AP519" s="5">
        <v>54.9642</v>
      </c>
      <c r="AR519" s="5">
        <v>95.6871818824441</v>
      </c>
      <c r="AT519" s="5">
        <v>105.130816111415</v>
      </c>
      <c r="AV519" s="5">
        <v>22.6534358131375</v>
      </c>
      <c r="AX519" s="5">
        <v>22.653</v>
      </c>
      <c r="AZ519" s="5">
        <v>42.4261094020578</v>
      </c>
      <c r="BB519" s="5">
        <v>41.618</v>
      </c>
      <c r="BD519" s="5">
        <v>63.167</v>
      </c>
      <c r="BF519" s="5">
        <v>29.31341089</v>
      </c>
      <c r="BH519" s="5">
        <v>44.38332566</v>
      </c>
      <c r="BJ519" s="5">
        <v>38.7320614685003</v>
      </c>
      <c r="BL519" s="5">
        <v>128.223147162464</v>
      </c>
      <c r="BN519" s="5">
        <v>133.50571287</v>
      </c>
      <c r="BP519" s="5">
        <v>73.9915644879169</v>
      </c>
      <c r="BR519" s="5">
        <v>78.226773</v>
      </c>
    </row>
    <row r="520" ht="15.75" customHeight="1">
      <c r="A520" s="4" t="str">
        <f t="shared" si="1"/>
        <v>Liabilities|Portfolio investment, Debt securities, Long-term, Positions, Derived using counterparty information|Singapore|Half-yearly, semester</v>
      </c>
      <c r="B520" s="4" t="s">
        <v>72</v>
      </c>
      <c r="C520" s="4" t="s">
        <v>862</v>
      </c>
      <c r="D520" s="4" t="s">
        <v>74</v>
      </c>
      <c r="E520" s="4" t="s">
        <v>75</v>
      </c>
      <c r="F520" s="4" t="s">
        <v>76</v>
      </c>
      <c r="G520" s="4" t="s">
        <v>549</v>
      </c>
      <c r="H520" s="4" t="s">
        <v>78</v>
      </c>
      <c r="I520" s="4" t="s">
        <v>78</v>
      </c>
      <c r="J520" s="4" t="s">
        <v>661</v>
      </c>
      <c r="K520" s="4" t="s">
        <v>80</v>
      </c>
      <c r="L520" s="4" t="s">
        <v>81</v>
      </c>
      <c r="N520" s="5">
        <v>133.971948672038</v>
      </c>
      <c r="V520" s="5">
        <v>368.968125337655</v>
      </c>
      <c r="X520" s="5">
        <v>426.488914483156</v>
      </c>
      <c r="Z520" s="5">
        <v>264.844190968956</v>
      </c>
      <c r="AB520" s="5">
        <v>294.436283510834</v>
      </c>
      <c r="AD520" s="5">
        <v>358.407643312102</v>
      </c>
      <c r="AF520" s="5">
        <v>624.352503912363</v>
      </c>
      <c r="AH520" s="5">
        <v>388.898140438524</v>
      </c>
      <c r="AJ520" s="5">
        <v>496.388966092274</v>
      </c>
      <c r="AL520" s="5">
        <v>874.013823571327</v>
      </c>
      <c r="AN520" s="5">
        <v>903.597669902913</v>
      </c>
      <c r="AP520" s="5">
        <v>2108.48158683786</v>
      </c>
      <c r="AR520" s="5">
        <v>1541.48263179403</v>
      </c>
      <c r="AT520" s="5">
        <v>454.843910535051</v>
      </c>
      <c r="AV520" s="5">
        <v>574.082343146901</v>
      </c>
      <c r="AX520" s="5">
        <v>588.615885140392</v>
      </c>
      <c r="AZ520" s="5">
        <v>585.92823065754</v>
      </c>
      <c r="BF520" s="5">
        <v>1202.49257719715</v>
      </c>
      <c r="BH520" s="5">
        <v>813.142727479011</v>
      </c>
      <c r="BJ520" s="5">
        <v>1090.90108751942</v>
      </c>
      <c r="BL520" s="5">
        <v>2538.56686003272</v>
      </c>
      <c r="BN520" s="5">
        <v>3097.80145608979</v>
      </c>
      <c r="BP520" s="5">
        <v>2240.50430052194</v>
      </c>
      <c r="BR520" s="5">
        <v>2062.72408690912</v>
      </c>
    </row>
    <row r="521" ht="15.75" customHeight="1">
      <c r="A521" s="4" t="str">
        <f t="shared" si="1"/>
        <v>Liabilities|Portfolio investment, Debt securities, Long-term, Positions, Derived using counterparty information|Korea, Republic of|Half-yearly, semester</v>
      </c>
      <c r="B521" s="4" t="s">
        <v>72</v>
      </c>
      <c r="C521" s="4" t="s">
        <v>863</v>
      </c>
      <c r="D521" s="4" t="s">
        <v>74</v>
      </c>
      <c r="E521" s="4" t="s">
        <v>75</v>
      </c>
      <c r="F521" s="4" t="s">
        <v>76</v>
      </c>
      <c r="G521" s="4" t="s">
        <v>549</v>
      </c>
      <c r="H521" s="4" t="s">
        <v>78</v>
      </c>
      <c r="I521" s="4" t="s">
        <v>78</v>
      </c>
      <c r="J521" s="4" t="s">
        <v>633</v>
      </c>
      <c r="K521" s="4" t="s">
        <v>80</v>
      </c>
      <c r="L521" s="4" t="s">
        <v>81</v>
      </c>
      <c r="N521" s="5">
        <v>0.0</v>
      </c>
      <c r="V521" s="5">
        <v>0.0</v>
      </c>
      <c r="X521" s="5">
        <v>0.0</v>
      </c>
      <c r="Z521" s="5">
        <v>0.0</v>
      </c>
      <c r="AB521" s="5">
        <v>49.8850942933758</v>
      </c>
      <c r="AD521" s="5">
        <v>8.74687678148485</v>
      </c>
      <c r="AF521" s="5">
        <v>1.308</v>
      </c>
      <c r="AH521" s="5">
        <v>0.215</v>
      </c>
      <c r="AJ521" s="5">
        <v>0.706</v>
      </c>
      <c r="AL521" s="5">
        <v>2.94138216427623</v>
      </c>
      <c r="AN521" s="5">
        <v>3.69440695257964</v>
      </c>
      <c r="AP521" s="5">
        <v>5.03551548042008</v>
      </c>
      <c r="AR521" s="5">
        <v>7.14646140938411</v>
      </c>
      <c r="AS521" s="5">
        <v>1.67277530143638</v>
      </c>
      <c r="AT521" s="5">
        <v>1.06579121022744</v>
      </c>
      <c r="AU521" s="5">
        <v>145.175591712876</v>
      </c>
      <c r="AV521" s="5">
        <v>191.313028936786</v>
      </c>
      <c r="AW521" s="5">
        <v>132.165407619068</v>
      </c>
      <c r="AX521" s="5">
        <v>51.2</v>
      </c>
      <c r="AY521" s="5">
        <v>84.3</v>
      </c>
      <c r="AZ521" s="5">
        <v>133.8</v>
      </c>
      <c r="BA521" s="5">
        <v>119.0</v>
      </c>
      <c r="BB521" s="5">
        <v>138.8</v>
      </c>
      <c r="BC521" s="5">
        <v>155.8</v>
      </c>
      <c r="BD521" s="5">
        <v>134.2</v>
      </c>
      <c r="BE521" s="5">
        <v>183.1</v>
      </c>
      <c r="BF521" s="5">
        <v>238.3</v>
      </c>
      <c r="BG521" s="5">
        <v>220.3</v>
      </c>
      <c r="BH521" s="5">
        <v>265.8</v>
      </c>
      <c r="BI521" s="5">
        <v>178.9</v>
      </c>
      <c r="BJ521" s="5">
        <v>319.8</v>
      </c>
      <c r="BK521" s="5">
        <v>406.7</v>
      </c>
      <c r="BL521" s="5">
        <v>347.3</v>
      </c>
      <c r="BM521" s="5">
        <v>342.5</v>
      </c>
      <c r="BN521" s="5">
        <v>370.2</v>
      </c>
      <c r="BO521" s="5">
        <v>341.4</v>
      </c>
      <c r="BP521" s="5">
        <v>397.4</v>
      </c>
      <c r="BQ521" s="5">
        <v>581.1</v>
      </c>
      <c r="BR521" s="5">
        <v>541.9</v>
      </c>
    </row>
    <row r="522" ht="15.75" customHeight="1">
      <c r="A522" s="4" t="str">
        <f t="shared" si="1"/>
        <v>Liabilities|Portfolio investment, Debt securities, Long-term, Positions, Derived using counterparty information|India|Half-yearly, semester</v>
      </c>
      <c r="B522" s="4" t="s">
        <v>72</v>
      </c>
      <c r="C522" s="4" t="s">
        <v>864</v>
      </c>
      <c r="D522" s="4" t="s">
        <v>74</v>
      </c>
      <c r="E522" s="4" t="s">
        <v>75</v>
      </c>
      <c r="F522" s="4" t="s">
        <v>76</v>
      </c>
      <c r="G522" s="4" t="s">
        <v>549</v>
      </c>
      <c r="H522" s="4" t="s">
        <v>78</v>
      </c>
      <c r="I522" s="4" t="s">
        <v>78</v>
      </c>
      <c r="J522" s="4" t="s">
        <v>659</v>
      </c>
      <c r="K522" s="4" t="s">
        <v>80</v>
      </c>
      <c r="L522" s="4" t="s">
        <v>81</v>
      </c>
      <c r="AR522" s="5">
        <v>0.0</v>
      </c>
      <c r="AT522" s="5">
        <v>0.0</v>
      </c>
      <c r="AU522" s="5">
        <v>0.0</v>
      </c>
      <c r="AV522" s="5">
        <v>0.0</v>
      </c>
      <c r="AW522" s="5">
        <v>0.0</v>
      </c>
      <c r="AX522" s="5">
        <v>0.0</v>
      </c>
      <c r="AY522" s="5">
        <v>0.0</v>
      </c>
      <c r="AZ522" s="5">
        <v>0.0</v>
      </c>
      <c r="BA522" s="5">
        <v>0.0</v>
      </c>
      <c r="BB522" s="5">
        <v>0.0</v>
      </c>
      <c r="BC522" s="5">
        <v>0.0</v>
      </c>
      <c r="BD522" s="5">
        <v>0.0</v>
      </c>
      <c r="BE522" s="5">
        <v>0.0</v>
      </c>
      <c r="BF522" s="5">
        <v>0.0</v>
      </c>
      <c r="BG522" s="5">
        <v>0.0</v>
      </c>
      <c r="BH522" s="5">
        <v>0.0</v>
      </c>
      <c r="BI522" s="5">
        <v>0.0</v>
      </c>
      <c r="BJ522" s="5">
        <v>0.0</v>
      </c>
      <c r="BK522" s="5">
        <v>0.0</v>
      </c>
      <c r="BL522" s="5">
        <v>0.0</v>
      </c>
      <c r="BM522" s="5">
        <v>0.0</v>
      </c>
      <c r="BN522" s="5">
        <v>0.0</v>
      </c>
      <c r="BO522" s="5">
        <v>0.0</v>
      </c>
      <c r="BP522" s="5">
        <v>0.0</v>
      </c>
      <c r="BQ522" s="5">
        <v>0.0</v>
      </c>
      <c r="BR522" s="5">
        <v>0.0</v>
      </c>
    </row>
    <row r="523" ht="15.75" customHeight="1">
      <c r="A523" s="4" t="str">
        <f t="shared" si="1"/>
        <v>Liabilities|Portfolio investment, Debt securities, Positions, Derived using counterparty information|Austria|Half-yearly, semester</v>
      </c>
      <c r="B523" s="4" t="s">
        <v>72</v>
      </c>
      <c r="C523" s="4" t="s">
        <v>865</v>
      </c>
      <c r="D523" s="4" t="s">
        <v>74</v>
      </c>
      <c r="E523" s="4" t="s">
        <v>75</v>
      </c>
      <c r="F523" s="4" t="s">
        <v>76</v>
      </c>
      <c r="G523" s="4" t="s">
        <v>571</v>
      </c>
      <c r="H523" s="4" t="s">
        <v>78</v>
      </c>
      <c r="I523" s="4" t="s">
        <v>78</v>
      </c>
      <c r="J523" s="4" t="s">
        <v>604</v>
      </c>
      <c r="K523" s="4" t="s">
        <v>80</v>
      </c>
      <c r="L523" s="4" t="s">
        <v>81</v>
      </c>
      <c r="N523" s="5">
        <v>15.8315522837014</v>
      </c>
      <c r="V523" s="5">
        <v>18.5073</v>
      </c>
      <c r="X523" s="5">
        <v>22.0227</v>
      </c>
      <c r="Z523" s="5">
        <v>31.575</v>
      </c>
      <c r="AB523" s="5">
        <v>149.831</v>
      </c>
      <c r="AD523" s="5">
        <v>122.6888</v>
      </c>
      <c r="AF523" s="5">
        <v>136.968</v>
      </c>
      <c r="AH523" s="5">
        <v>11.7768</v>
      </c>
      <c r="AJ523" s="5">
        <v>29.2257</v>
      </c>
      <c r="AL523" s="5">
        <v>43.218</v>
      </c>
      <c r="AN523" s="5">
        <v>113.577</v>
      </c>
      <c r="AP523" s="5">
        <v>81.5157</v>
      </c>
      <c r="AR523" s="5">
        <v>89.7192</v>
      </c>
      <c r="AS523" s="5">
        <v>113.796</v>
      </c>
      <c r="AT523" s="5">
        <v>108.9489</v>
      </c>
      <c r="AU523" s="5">
        <v>107.8982</v>
      </c>
      <c r="AV523" s="5">
        <v>88.6293</v>
      </c>
      <c r="AW523" s="5">
        <v>79.4419</v>
      </c>
      <c r="AX523" s="5">
        <v>78.3864</v>
      </c>
      <c r="AY523" s="5">
        <v>62.1712</v>
      </c>
      <c r="AZ523" s="5">
        <v>82.2198</v>
      </c>
      <c r="BA523" s="5">
        <v>170.0388</v>
      </c>
      <c r="BB523" s="5">
        <v>214.6747</v>
      </c>
      <c r="BC523" s="5">
        <v>233.16</v>
      </c>
      <c r="BD523" s="5">
        <v>223.275</v>
      </c>
      <c r="BE523" s="5">
        <v>240.118</v>
      </c>
      <c r="BF523" s="5">
        <v>269.616</v>
      </c>
      <c r="BG523" s="5">
        <v>232.9184</v>
      </c>
      <c r="BH523" s="5">
        <v>247.8742</v>
      </c>
      <c r="BI523" s="5">
        <v>243.622</v>
      </c>
      <c r="BJ523" s="5">
        <v>274.0892</v>
      </c>
      <c r="BK523" s="5">
        <v>261.7524</v>
      </c>
      <c r="BL523" s="5">
        <v>239.985</v>
      </c>
      <c r="BM523" s="5">
        <v>272.7366</v>
      </c>
      <c r="BN523" s="5">
        <v>298.35</v>
      </c>
      <c r="BO523" s="5">
        <v>277.2595</v>
      </c>
      <c r="BP523" s="5">
        <v>242.0637</v>
      </c>
      <c r="BQ523" s="5">
        <v>287.14</v>
      </c>
      <c r="BR523" s="5">
        <v>393.625</v>
      </c>
    </row>
    <row r="524" ht="15.75" customHeight="1"/>
    <row r="525" ht="15.75" customHeight="1">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c r="BP525" s="8"/>
      <c r="BQ525" s="8"/>
    </row>
    <row r="526" ht="15.75" customHeight="1"/>
    <row r="527" ht="15.75" customHeight="1"/>
    <row r="528" ht="15.75" customHeight="1"/>
    <row r="529" ht="15.75" customHeight="1">
      <c r="M529" s="16"/>
      <c r="N529" s="19"/>
      <c r="O529" s="19"/>
      <c r="P529" s="19"/>
      <c r="Q529" s="19"/>
      <c r="R529" s="19"/>
      <c r="S529" s="19"/>
      <c r="T529" s="19"/>
      <c r="U529" s="19"/>
      <c r="V529" s="19"/>
      <c r="W529" s="19"/>
      <c r="X529" s="19"/>
      <c r="Y529" s="19"/>
      <c r="Z529" s="19"/>
      <c r="AA529" s="19"/>
      <c r="AB529" s="19"/>
      <c r="AC529" s="19"/>
      <c r="AD529" s="19"/>
      <c r="AE529" s="19"/>
      <c r="AF529" s="19"/>
      <c r="AG529" s="19"/>
      <c r="AH529" s="19"/>
      <c r="AI529" s="19"/>
      <c r="AJ529" s="19"/>
      <c r="AK529" s="19"/>
      <c r="AL529" s="19"/>
      <c r="AM529" s="19"/>
      <c r="AN529" s="19"/>
      <c r="AO529" s="19"/>
      <c r="AP529" s="19"/>
      <c r="AQ529" s="19"/>
      <c r="AR529" s="19"/>
      <c r="AS529" s="19"/>
      <c r="AT529" s="19"/>
      <c r="AU529" s="19"/>
      <c r="AV529" s="19"/>
      <c r="AW529" s="19"/>
      <c r="AX529" s="19"/>
      <c r="AY529" s="19"/>
      <c r="AZ529" s="19"/>
      <c r="BA529" s="19"/>
      <c r="BB529" s="19"/>
      <c r="BC529" s="19"/>
      <c r="BD529" s="19"/>
      <c r="BE529" s="19"/>
      <c r="BF529" s="19"/>
      <c r="BG529" s="19"/>
      <c r="BH529" s="19"/>
      <c r="BI529" s="19"/>
      <c r="BJ529" s="19"/>
      <c r="BK529" s="19"/>
      <c r="BL529" s="19"/>
      <c r="BM529" s="19"/>
      <c r="BN529" s="19"/>
      <c r="BO529" s="19"/>
      <c r="BP529" s="19"/>
      <c r="BQ529" s="19"/>
      <c r="BR529" s="19"/>
    </row>
    <row r="530" ht="15.75" customHeight="1">
      <c r="N530" s="19"/>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c r="AN530" s="19"/>
      <c r="AO530" s="19"/>
      <c r="AP530" s="19"/>
      <c r="AQ530" s="19"/>
      <c r="AR530" s="19"/>
      <c r="AS530" s="19"/>
      <c r="AT530" s="19"/>
      <c r="AU530" s="19"/>
      <c r="AV530" s="19"/>
      <c r="AW530" s="19"/>
      <c r="AX530" s="19"/>
      <c r="AY530" s="19"/>
      <c r="AZ530" s="19"/>
      <c r="BA530" s="19"/>
      <c r="BB530" s="19"/>
      <c r="BC530" s="19"/>
      <c r="BD530" s="19"/>
      <c r="BE530" s="19"/>
      <c r="BF530" s="19"/>
      <c r="BG530" s="19"/>
      <c r="BH530" s="19"/>
      <c r="BI530" s="19"/>
      <c r="BJ530" s="19"/>
      <c r="BK530" s="19"/>
      <c r="BL530" s="19"/>
      <c r="BM530" s="19"/>
      <c r="BN530" s="19"/>
      <c r="BO530" s="19"/>
      <c r="BP530" s="19"/>
      <c r="BQ530" s="19"/>
      <c r="BR530" s="19"/>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48.0"/>
    <col customWidth="1" min="2" max="59" width="10.71"/>
  </cols>
  <sheetData>
    <row r="1">
      <c r="A1" s="8"/>
      <c r="B1" s="2" t="s">
        <v>14</v>
      </c>
      <c r="C1" s="2" t="s">
        <v>15</v>
      </c>
      <c r="D1" s="2" t="s">
        <v>16</v>
      </c>
      <c r="E1" s="2" t="s">
        <v>17</v>
      </c>
      <c r="F1" s="2" t="s">
        <v>18</v>
      </c>
      <c r="G1" s="2" t="s">
        <v>19</v>
      </c>
      <c r="H1" s="2" t="s">
        <v>20</v>
      </c>
      <c r="I1" s="2" t="s">
        <v>21</v>
      </c>
      <c r="J1" s="2" t="s">
        <v>22</v>
      </c>
      <c r="K1" s="2" t="s">
        <v>23</v>
      </c>
      <c r="L1" s="2" t="s">
        <v>24</v>
      </c>
      <c r="M1" s="2" t="s">
        <v>25</v>
      </c>
      <c r="N1" s="2" t="s">
        <v>26</v>
      </c>
      <c r="O1" s="2" t="s">
        <v>27</v>
      </c>
      <c r="P1" s="2" t="s">
        <v>28</v>
      </c>
      <c r="Q1" s="2" t="s">
        <v>29</v>
      </c>
      <c r="R1" s="2" t="s">
        <v>30</v>
      </c>
      <c r="S1" s="2" t="s">
        <v>31</v>
      </c>
      <c r="T1" s="2" t="s">
        <v>32</v>
      </c>
      <c r="U1" s="2" t="s">
        <v>33</v>
      </c>
      <c r="V1" s="2" t="s">
        <v>34</v>
      </c>
      <c r="W1" s="2" t="s">
        <v>35</v>
      </c>
      <c r="X1" s="2" t="s">
        <v>36</v>
      </c>
      <c r="Y1" s="2" t="s">
        <v>37</v>
      </c>
      <c r="Z1" s="2" t="s">
        <v>38</v>
      </c>
      <c r="AA1" s="2" t="s">
        <v>39</v>
      </c>
      <c r="AB1" s="2" t="s">
        <v>40</v>
      </c>
      <c r="AC1" s="2" t="s">
        <v>41</v>
      </c>
      <c r="AD1" s="2" t="s">
        <v>42</v>
      </c>
      <c r="AE1" s="2" t="s">
        <v>43</v>
      </c>
      <c r="AF1" s="2" t="s">
        <v>44</v>
      </c>
      <c r="AG1" s="2" t="s">
        <v>45</v>
      </c>
      <c r="AH1" s="2" t="s">
        <v>46</v>
      </c>
      <c r="AI1" s="2" t="s">
        <v>47</v>
      </c>
      <c r="AJ1" s="2" t="s">
        <v>48</v>
      </c>
      <c r="AK1" s="2" t="s">
        <v>49</v>
      </c>
      <c r="AL1" s="2" t="s">
        <v>50</v>
      </c>
      <c r="AM1" s="2" t="s">
        <v>51</v>
      </c>
      <c r="AN1" s="2" t="s">
        <v>52</v>
      </c>
      <c r="AO1" s="2" t="s">
        <v>53</v>
      </c>
      <c r="AP1" s="2" t="s">
        <v>54</v>
      </c>
      <c r="AQ1" s="2" t="s">
        <v>55</v>
      </c>
      <c r="AR1" s="2" t="s">
        <v>56</v>
      </c>
      <c r="AS1" s="2" t="s">
        <v>57</v>
      </c>
      <c r="AT1" s="2" t="s">
        <v>58</v>
      </c>
      <c r="AU1" s="2" t="s">
        <v>59</v>
      </c>
      <c r="AV1" s="2" t="s">
        <v>60</v>
      </c>
      <c r="AW1" s="2" t="s">
        <v>61</v>
      </c>
      <c r="AX1" s="2" t="s">
        <v>62</v>
      </c>
      <c r="AY1" s="2" t="s">
        <v>63</v>
      </c>
      <c r="AZ1" s="2" t="s">
        <v>64</v>
      </c>
      <c r="BA1" s="2" t="s">
        <v>65</v>
      </c>
      <c r="BB1" s="2" t="s">
        <v>66</v>
      </c>
      <c r="BC1" s="2" t="s">
        <v>67</v>
      </c>
      <c r="BD1" s="2" t="s">
        <v>68</v>
      </c>
      <c r="BE1" s="2" t="s">
        <v>69</v>
      </c>
      <c r="BF1" s="2" t="s">
        <v>70</v>
      </c>
      <c r="BG1" s="2" t="s">
        <v>71</v>
      </c>
    </row>
    <row r="2">
      <c r="A2" s="9" t="s">
        <v>392</v>
      </c>
    </row>
    <row r="3">
      <c r="A3" s="10" t="s">
        <v>393</v>
      </c>
      <c r="B3" s="11" t="str">
        <f>IF(raw_imf!M320="",NA(),raw_imf!M320)</f>
        <v>#N/A</v>
      </c>
      <c r="C3" s="11" t="str">
        <f>IF(raw_imf!N320="",NA(),raw_imf!N320)</f>
        <v>#N/A</v>
      </c>
      <c r="D3" s="11" t="str">
        <f>IF(raw_imf!O320="",NA(),raw_imf!O320)</f>
        <v>#N/A</v>
      </c>
      <c r="E3" s="11" t="str">
        <f>IF(raw_imf!P320="",NA(),raw_imf!P320)</f>
        <v>#N/A</v>
      </c>
      <c r="F3" s="11" t="str">
        <f>IF(raw_imf!Q320="",NA(),raw_imf!Q320)</f>
        <v>#N/A</v>
      </c>
      <c r="G3" s="11" t="str">
        <f>IF(raw_imf!R320="",NA(),raw_imf!R320)</f>
        <v>#N/A</v>
      </c>
      <c r="H3" s="11" t="str">
        <f>IF(raw_imf!S320="",NA(),raw_imf!S320)</f>
        <v>#N/A</v>
      </c>
      <c r="I3" s="11" t="str">
        <f>IF(raw_imf!T320="",NA(),raw_imf!T320)</f>
        <v>#N/A</v>
      </c>
      <c r="J3" s="11" t="str">
        <f>IF(raw_imf!U320="",NA(),raw_imf!U320)</f>
        <v>#N/A</v>
      </c>
      <c r="K3" s="11" t="str">
        <f>IF(raw_imf!V320="",NA(),raw_imf!V320)</f>
        <v>#N/A</v>
      </c>
      <c r="L3" s="11" t="str">
        <f>IF(raw_imf!W320="",NA(),raw_imf!W320)</f>
        <v>#N/A</v>
      </c>
      <c r="M3" s="11" t="str">
        <f>IF(raw_imf!X320="",NA(),raw_imf!X320)</f>
        <v>#N/A</v>
      </c>
      <c r="N3" s="11" t="str">
        <f>IF(raw_imf!Y320="",NA(),raw_imf!Y320)</f>
        <v>#N/A</v>
      </c>
      <c r="O3" s="11" t="str">
        <f>IF(raw_imf!Z320="",NA(),raw_imf!Z320)</f>
        <v>#N/A</v>
      </c>
      <c r="P3" s="11" t="str">
        <f>IF(raw_imf!AA320="",NA(),raw_imf!AA320)</f>
        <v>#N/A</v>
      </c>
      <c r="Q3" s="11" t="str">
        <f>IF(raw_imf!AB320="",NA(),raw_imf!AB320)</f>
        <v>#N/A</v>
      </c>
      <c r="R3" s="11" t="str">
        <f>IF(raw_imf!AC320="",NA(),raw_imf!AC320)</f>
        <v>#N/A</v>
      </c>
      <c r="S3" s="11" t="str">
        <f>IF(raw_imf!AD320="",NA(),raw_imf!AD320)</f>
        <v>#N/A</v>
      </c>
      <c r="T3" s="11" t="str">
        <f>IF(raw_imf!AE320="",NA(),raw_imf!AE320)</f>
        <v>#N/A</v>
      </c>
      <c r="U3" s="11">
        <f>IF(raw_imf!AF320="",NA(),raw_imf!AF320)</f>
        <v>44160.3981</v>
      </c>
      <c r="V3" s="11" t="str">
        <f>IF(raw_imf!AG320="",NA(),raw_imf!AG320)</f>
        <v>#N/A</v>
      </c>
      <c r="W3" s="11">
        <f>IF(raw_imf!AH320="",NA(),raw_imf!AH320)</f>
        <v>58357.278</v>
      </c>
      <c r="X3" s="11" t="str">
        <f>IF(raw_imf!AI320="",NA(),raw_imf!AI320)</f>
        <v>#N/A</v>
      </c>
      <c r="Y3" s="11">
        <f>IF(raw_imf!AJ320="",NA(),raw_imf!AJ320)</f>
        <v>46349.89842</v>
      </c>
      <c r="Z3" s="11" t="str">
        <f>IF(raw_imf!AK320="",NA(),raw_imf!AK320)</f>
        <v>#N/A</v>
      </c>
      <c r="AA3" s="11">
        <f>IF(raw_imf!AL320="",NA(),raw_imf!AL320)</f>
        <v>56866.36377</v>
      </c>
      <c r="AB3" s="11" t="str">
        <f>IF(raw_imf!AM320="",NA(),raw_imf!AM320)</f>
        <v>#N/A</v>
      </c>
      <c r="AC3" s="11">
        <f>IF(raw_imf!AN320="",NA(),raw_imf!AN320)</f>
        <v>65761.16535</v>
      </c>
      <c r="AD3" s="11" t="str">
        <f>IF(raw_imf!AO320="",NA(),raw_imf!AO320)</f>
        <v>#N/A</v>
      </c>
      <c r="AE3" s="11" t="str">
        <f>IF(raw_imf!AP320="",NA(),raw_imf!AP320)</f>
        <v>#N/A</v>
      </c>
      <c r="AF3" s="11" t="str">
        <f>IF(raw_imf!AQ320="",NA(),raw_imf!AQ320)</f>
        <v>#N/A</v>
      </c>
      <c r="AG3" s="11" t="str">
        <f>IF(raw_imf!AR320="",NA(),raw_imf!AR320)</f>
        <v>#N/A</v>
      </c>
      <c r="AH3" s="11" t="str">
        <f>IF(raw_imf!AS320="",NA(),raw_imf!AS320)</f>
        <v>#N/A</v>
      </c>
      <c r="AI3" s="11" t="str">
        <f>IF(raw_imf!AT320="",NA(),raw_imf!AT320)</f>
        <v>#N/A</v>
      </c>
      <c r="AJ3" s="11">
        <f>IF(raw_imf!AU320="",NA(),raw_imf!AU320)</f>
        <v>94886.9896</v>
      </c>
      <c r="AK3" s="11">
        <f>IF(raw_imf!AV320="",NA(),raw_imf!AV320)</f>
        <v>90305.9492</v>
      </c>
      <c r="AL3" s="11">
        <f>IF(raw_imf!AW320="",NA(),raw_imf!AW320)</f>
        <v>83988.14909</v>
      </c>
      <c r="AM3" s="11">
        <f>IF(raw_imf!AX320="",NA(),raw_imf!AX320)</f>
        <v>84611.27891</v>
      </c>
      <c r="AN3" s="11">
        <f>IF(raw_imf!AY320="",NA(),raw_imf!AY320)</f>
        <v>92275.40418</v>
      </c>
      <c r="AO3" s="11">
        <f>IF(raw_imf!AZ320="",NA(),raw_imf!AZ320)</f>
        <v>93134.66518</v>
      </c>
      <c r="AP3" s="11">
        <f>IF(raw_imf!BA320="",NA(),raw_imf!BA320)</f>
        <v>107340.8103</v>
      </c>
      <c r="AQ3" s="11">
        <f>IF(raw_imf!BB320="",NA(),raw_imf!BB320)</f>
        <v>107282.0987</v>
      </c>
      <c r="AR3" s="11">
        <f>IF(raw_imf!BC320="",NA(),raw_imf!BC320)</f>
        <v>107153.7506</v>
      </c>
      <c r="AS3" s="11">
        <f>IF(raw_imf!BD320="",NA(),raw_imf!BD320)</f>
        <v>106237.3745</v>
      </c>
      <c r="AT3" s="11">
        <f>IF(raw_imf!BE320="",NA(),raw_imf!BE320)</f>
        <v>110669.1733</v>
      </c>
      <c r="AU3" s="11">
        <f>IF(raw_imf!BF320="",NA(),raw_imf!BF320)</f>
        <v>114072.7431</v>
      </c>
      <c r="AV3" s="11">
        <f>IF(raw_imf!BG320="",NA(),raw_imf!BG320)</f>
        <v>111822.0042</v>
      </c>
      <c r="AW3" s="11">
        <f>IF(raw_imf!BH320="",NA(),raw_imf!BH320)</f>
        <v>122014.222</v>
      </c>
      <c r="AX3" s="11">
        <f>IF(raw_imf!BI320="",NA(),raw_imf!BI320)</f>
        <v>122874.1652</v>
      </c>
      <c r="AY3" s="11">
        <f>IF(raw_imf!BJ320="",NA(),raw_imf!BJ320)</f>
        <v>127657.796</v>
      </c>
      <c r="AZ3" s="11">
        <f>IF(raw_imf!BK320="",NA(),raw_imf!BK320)</f>
        <v>116108.0693</v>
      </c>
      <c r="BA3" s="11">
        <f>IF(raw_imf!BL320="",NA(),raw_imf!BL320)</f>
        <v>114973.7998</v>
      </c>
      <c r="BB3" s="11">
        <f>IF(raw_imf!BM320="",NA(),raw_imf!BM320)</f>
        <v>115963.213</v>
      </c>
      <c r="BC3" s="11">
        <f>IF(raw_imf!BN320="",NA(),raw_imf!BN320)</f>
        <v>130545.2108</v>
      </c>
      <c r="BD3" s="11">
        <f>IF(raw_imf!BO320="",NA(),raw_imf!BO320)</f>
        <v>136143.1988</v>
      </c>
      <c r="BE3" s="11">
        <f>IF(raw_imf!BP320="",NA(),raw_imf!BP320)</f>
        <v>141586.238</v>
      </c>
      <c r="BF3" s="11">
        <f>IF(raw_imf!BQ320="",NA(),raw_imf!BQ320)</f>
        <v>162657.7063</v>
      </c>
      <c r="BG3" s="11">
        <f>IF(raw_imf!BR320="",NA(),raw_imf!BR320)</f>
        <v>165011.1729</v>
      </c>
    </row>
    <row r="4">
      <c r="A4" s="10" t="s">
        <v>510</v>
      </c>
      <c r="B4" s="11" t="str">
        <f>IF(raw_imf!M351="",NA(),raw_imf!M351)</f>
        <v>#N/A</v>
      </c>
      <c r="C4" s="11" t="str">
        <f>IF(raw_imf!N351="",NA(),raw_imf!N351)</f>
        <v>#N/A</v>
      </c>
      <c r="D4" s="11" t="str">
        <f>IF(raw_imf!O351="",NA(),raw_imf!O351)</f>
        <v>#N/A</v>
      </c>
      <c r="E4" s="11" t="str">
        <f>IF(raw_imf!P351="",NA(),raw_imf!P351)</f>
        <v>#N/A</v>
      </c>
      <c r="F4" s="11" t="str">
        <f>IF(raw_imf!Q351="",NA(),raw_imf!Q351)</f>
        <v>#N/A</v>
      </c>
      <c r="G4" s="11" t="str">
        <f>IF(raw_imf!R351="",NA(),raw_imf!R351)</f>
        <v>#N/A</v>
      </c>
      <c r="H4" s="11" t="str">
        <f>IF(raw_imf!S351="",NA(),raw_imf!S351)</f>
        <v>#N/A</v>
      </c>
      <c r="I4" s="11" t="str">
        <f>IF(raw_imf!T351="",NA(),raw_imf!T351)</f>
        <v>#N/A</v>
      </c>
      <c r="J4" s="11" t="str">
        <f>IF(raw_imf!U351="",NA(),raw_imf!U351)</f>
        <v>#N/A</v>
      </c>
      <c r="K4" s="11" t="str">
        <f>IF(raw_imf!V351="",NA(),raw_imf!V351)</f>
        <v>#N/A</v>
      </c>
      <c r="L4" s="11" t="str">
        <f>IF(raw_imf!W351="",NA(),raw_imf!W351)</f>
        <v>#N/A</v>
      </c>
      <c r="M4" s="11" t="str">
        <f>IF(raw_imf!X351="",NA(),raw_imf!X351)</f>
        <v>#N/A</v>
      </c>
      <c r="N4" s="11" t="str">
        <f>IF(raw_imf!Y351="",NA(),raw_imf!Y351)</f>
        <v>#N/A</v>
      </c>
      <c r="O4" s="11" t="str">
        <f>IF(raw_imf!Z351="",NA(),raw_imf!Z351)</f>
        <v>#N/A</v>
      </c>
      <c r="P4" s="11" t="str">
        <f>IF(raw_imf!AA351="",NA(),raw_imf!AA351)</f>
        <v>#N/A</v>
      </c>
      <c r="Q4" s="11" t="str">
        <f>IF(raw_imf!AB351="",NA(),raw_imf!AB351)</f>
        <v>#N/A</v>
      </c>
      <c r="R4" s="11" t="str">
        <f>IF(raw_imf!AC351="",NA(),raw_imf!AC351)</f>
        <v>#N/A</v>
      </c>
      <c r="S4" s="11" t="str">
        <f>IF(raw_imf!AD351="",NA(),raw_imf!AD351)</f>
        <v>#N/A</v>
      </c>
      <c r="T4" s="11" t="str">
        <f>IF(raw_imf!AE351="",NA(),raw_imf!AE351)</f>
        <v>#N/A</v>
      </c>
      <c r="U4" s="11">
        <f>IF(raw_imf!AF351="",NA(),raw_imf!AF351)</f>
        <v>13568.1039</v>
      </c>
      <c r="V4" s="11" t="str">
        <f>IF(raw_imf!AG351="",NA(),raw_imf!AG351)</f>
        <v>#N/A</v>
      </c>
      <c r="W4" s="11">
        <f>IF(raw_imf!AH351="",NA(),raw_imf!AH351)</f>
        <v>16264.062</v>
      </c>
      <c r="X4" s="11" t="str">
        <f>IF(raw_imf!AI351="",NA(),raw_imf!AI351)</f>
        <v>#N/A</v>
      </c>
      <c r="Y4" s="11">
        <f>IF(raw_imf!AJ351="",NA(),raw_imf!AJ351)</f>
        <v>16841.93356</v>
      </c>
      <c r="Z4" s="11" t="str">
        <f>IF(raw_imf!AK351="",NA(),raw_imf!AK351)</f>
        <v>#N/A</v>
      </c>
      <c r="AA4" s="11">
        <f>IF(raw_imf!AL351="",NA(),raw_imf!AL351)</f>
        <v>22250.78466</v>
      </c>
      <c r="AB4" s="11" t="str">
        <f>IF(raw_imf!AM351="",NA(),raw_imf!AM351)</f>
        <v>#N/A</v>
      </c>
      <c r="AC4" s="11">
        <f>IF(raw_imf!AN351="",NA(),raw_imf!AN351)</f>
        <v>21704.60709</v>
      </c>
      <c r="AD4" s="11" t="str">
        <f>IF(raw_imf!AO351="",NA(),raw_imf!AO351)</f>
        <v>#N/A</v>
      </c>
      <c r="AE4" s="11" t="str">
        <f>IF(raw_imf!AP351="",NA(),raw_imf!AP351)</f>
        <v>#N/A</v>
      </c>
      <c r="AF4" s="11" t="str">
        <f>IF(raw_imf!AQ351="",NA(),raw_imf!AQ351)</f>
        <v>#N/A</v>
      </c>
      <c r="AG4" s="11" t="str">
        <f>IF(raw_imf!AR351="",NA(),raw_imf!AR351)</f>
        <v>#N/A</v>
      </c>
      <c r="AH4" s="11" t="str">
        <f>IF(raw_imf!AS351="",NA(),raw_imf!AS351)</f>
        <v>#N/A</v>
      </c>
      <c r="AI4" s="11" t="str">
        <f>IF(raw_imf!AT351="",NA(),raw_imf!AT351)</f>
        <v>#N/A</v>
      </c>
      <c r="AJ4" s="11">
        <f>IF(raw_imf!AU351="",NA(),raw_imf!AU351)</f>
        <v>15924.052</v>
      </c>
      <c r="AK4" s="11">
        <f>IF(raw_imf!AV351="",NA(),raw_imf!AV351)</f>
        <v>16935.6928</v>
      </c>
      <c r="AL4" s="11">
        <f>IF(raw_imf!AW351="",NA(),raw_imf!AW351)</f>
        <v>16124.90762</v>
      </c>
      <c r="AM4" s="11" t="str">
        <f>IF(raw_imf!AX351="",NA(),raw_imf!AX351)</f>
        <v>#N/A</v>
      </c>
      <c r="AN4" s="11" t="str">
        <f>IF(raw_imf!AY351="",NA(),raw_imf!AY351)</f>
        <v>#N/A</v>
      </c>
      <c r="AO4" s="11" t="str">
        <f>IF(raw_imf!AZ351="",NA(),raw_imf!AZ351)</f>
        <v>#N/A</v>
      </c>
      <c r="AP4" s="11" t="str">
        <f>IF(raw_imf!BA351="",NA(),raw_imf!BA351)</f>
        <v>#N/A</v>
      </c>
      <c r="AQ4" s="11">
        <f>IF(raw_imf!BB351="",NA(),raw_imf!BB351)</f>
        <v>16916.45209</v>
      </c>
      <c r="AR4" s="11">
        <f>IF(raw_imf!BC351="",NA(),raw_imf!BC351)</f>
        <v>16581.93529</v>
      </c>
      <c r="AS4" s="11">
        <f>IF(raw_imf!BD351="",NA(),raw_imf!BD351)</f>
        <v>17786.29296</v>
      </c>
      <c r="AT4" s="11">
        <f>IF(raw_imf!BE351="",NA(),raw_imf!BE351)</f>
        <v>17093.32218</v>
      </c>
      <c r="AU4" s="11">
        <f>IF(raw_imf!BF351="",NA(),raw_imf!BF351)</f>
        <v>20261.75108</v>
      </c>
      <c r="AV4" s="11">
        <f>IF(raw_imf!BG351="",NA(),raw_imf!BG351)</f>
        <v>21986.10076</v>
      </c>
      <c r="AW4" s="11">
        <f>IF(raw_imf!BH351="",NA(),raw_imf!BH351)</f>
        <v>20078.32767</v>
      </c>
      <c r="AX4" s="11">
        <f>IF(raw_imf!BI351="",NA(),raw_imf!BI351)</f>
        <v>23916.06788</v>
      </c>
      <c r="AY4" s="11">
        <f>IF(raw_imf!BJ351="",NA(),raw_imf!BJ351)</f>
        <v>29141.90818</v>
      </c>
      <c r="AZ4" s="11">
        <f>IF(raw_imf!BK351="",NA(),raw_imf!BK351)</f>
        <v>26505.3197</v>
      </c>
      <c r="BA4" s="11">
        <f>IF(raw_imf!BL351="",NA(),raw_imf!BL351)</f>
        <v>24933.55337</v>
      </c>
      <c r="BB4" s="11">
        <f>IF(raw_imf!BM351="",NA(),raw_imf!BM351)</f>
        <v>29284.716</v>
      </c>
      <c r="BC4" s="11">
        <f>IF(raw_imf!BN351="",NA(),raw_imf!BN351)</f>
        <v>29532.16763</v>
      </c>
      <c r="BD4" s="11">
        <f>IF(raw_imf!BO351="",NA(),raw_imf!BO351)</f>
        <v>30426.05095</v>
      </c>
      <c r="BE4" s="11">
        <f>IF(raw_imf!BP351="",NA(),raw_imf!BP351)</f>
        <v>30794.02143</v>
      </c>
      <c r="BF4" s="11">
        <f>IF(raw_imf!BQ351="",NA(),raw_imf!BQ351)</f>
        <v>37415.10922</v>
      </c>
      <c r="BG4" s="11">
        <f>IF(raw_imf!BR351="",NA(),raw_imf!BR351)</f>
        <v>38123.71194</v>
      </c>
    </row>
    <row r="5">
      <c r="A5" s="10" t="s">
        <v>579</v>
      </c>
      <c r="B5" s="12" t="str">
        <f t="shared" ref="B5:BG5" si="1">B3-B4</f>
        <v>#N/A</v>
      </c>
      <c r="C5" s="12" t="str">
        <f t="shared" si="1"/>
        <v>#N/A</v>
      </c>
      <c r="D5" s="12" t="str">
        <f t="shared" si="1"/>
        <v>#N/A</v>
      </c>
      <c r="E5" s="12" t="str">
        <f t="shared" si="1"/>
        <v>#N/A</v>
      </c>
      <c r="F5" s="12" t="str">
        <f t="shared" si="1"/>
        <v>#N/A</v>
      </c>
      <c r="G5" s="12" t="str">
        <f t="shared" si="1"/>
        <v>#N/A</v>
      </c>
      <c r="H5" s="12" t="str">
        <f t="shared" si="1"/>
        <v>#N/A</v>
      </c>
      <c r="I5" s="12" t="str">
        <f t="shared" si="1"/>
        <v>#N/A</v>
      </c>
      <c r="J5" s="12" t="str">
        <f t="shared" si="1"/>
        <v>#N/A</v>
      </c>
      <c r="K5" s="12" t="str">
        <f t="shared" si="1"/>
        <v>#N/A</v>
      </c>
      <c r="L5" s="12" t="str">
        <f t="shared" si="1"/>
        <v>#N/A</v>
      </c>
      <c r="M5" s="12" t="str">
        <f t="shared" si="1"/>
        <v>#N/A</v>
      </c>
      <c r="N5" s="12" t="str">
        <f t="shared" si="1"/>
        <v>#N/A</v>
      </c>
      <c r="O5" s="12" t="str">
        <f t="shared" si="1"/>
        <v>#N/A</v>
      </c>
      <c r="P5" s="12" t="str">
        <f t="shared" si="1"/>
        <v>#N/A</v>
      </c>
      <c r="Q5" s="12" t="str">
        <f t="shared" si="1"/>
        <v>#N/A</v>
      </c>
      <c r="R5" s="12" t="str">
        <f t="shared" si="1"/>
        <v>#N/A</v>
      </c>
      <c r="S5" s="12" t="str">
        <f t="shared" si="1"/>
        <v>#N/A</v>
      </c>
      <c r="T5" s="12" t="str">
        <f t="shared" si="1"/>
        <v>#N/A</v>
      </c>
      <c r="U5" s="12">
        <f t="shared" si="1"/>
        <v>30592.2942</v>
      </c>
      <c r="V5" s="12" t="str">
        <f t="shared" si="1"/>
        <v>#N/A</v>
      </c>
      <c r="W5" s="12">
        <f t="shared" si="1"/>
        <v>42093.216</v>
      </c>
      <c r="X5" s="12" t="str">
        <f t="shared" si="1"/>
        <v>#N/A</v>
      </c>
      <c r="Y5" s="12">
        <f t="shared" si="1"/>
        <v>29507.96486</v>
      </c>
      <c r="Z5" s="12" t="str">
        <f t="shared" si="1"/>
        <v>#N/A</v>
      </c>
      <c r="AA5" s="12">
        <f t="shared" si="1"/>
        <v>34615.57911</v>
      </c>
      <c r="AB5" s="12" t="str">
        <f t="shared" si="1"/>
        <v>#N/A</v>
      </c>
      <c r="AC5" s="12">
        <f t="shared" si="1"/>
        <v>44056.55826</v>
      </c>
      <c r="AD5" s="12" t="str">
        <f t="shared" si="1"/>
        <v>#N/A</v>
      </c>
      <c r="AE5" s="12" t="str">
        <f t="shared" si="1"/>
        <v>#N/A</v>
      </c>
      <c r="AF5" s="12" t="str">
        <f t="shared" si="1"/>
        <v>#N/A</v>
      </c>
      <c r="AG5" s="12" t="str">
        <f t="shared" si="1"/>
        <v>#N/A</v>
      </c>
      <c r="AH5" s="12" t="str">
        <f t="shared" si="1"/>
        <v>#N/A</v>
      </c>
      <c r="AI5" s="12" t="str">
        <f t="shared" si="1"/>
        <v>#N/A</v>
      </c>
      <c r="AJ5" s="12">
        <f t="shared" si="1"/>
        <v>78962.9376</v>
      </c>
      <c r="AK5" s="12">
        <f t="shared" si="1"/>
        <v>73370.2564</v>
      </c>
      <c r="AL5" s="12">
        <f t="shared" si="1"/>
        <v>67863.24146</v>
      </c>
      <c r="AM5" s="12" t="str">
        <f t="shared" si="1"/>
        <v>#N/A</v>
      </c>
      <c r="AN5" s="12" t="str">
        <f t="shared" si="1"/>
        <v>#N/A</v>
      </c>
      <c r="AO5" s="12" t="str">
        <f t="shared" si="1"/>
        <v>#N/A</v>
      </c>
      <c r="AP5" s="12" t="str">
        <f t="shared" si="1"/>
        <v>#N/A</v>
      </c>
      <c r="AQ5" s="12">
        <f t="shared" si="1"/>
        <v>90365.64656</v>
      </c>
      <c r="AR5" s="12">
        <f t="shared" si="1"/>
        <v>90571.8153</v>
      </c>
      <c r="AS5" s="12">
        <f t="shared" si="1"/>
        <v>88451.0815</v>
      </c>
      <c r="AT5" s="12">
        <f t="shared" si="1"/>
        <v>93575.85113</v>
      </c>
      <c r="AU5" s="12">
        <f t="shared" si="1"/>
        <v>93810.99205</v>
      </c>
      <c r="AV5" s="12">
        <f t="shared" si="1"/>
        <v>89835.90348</v>
      </c>
      <c r="AW5" s="12">
        <f t="shared" si="1"/>
        <v>101935.8943</v>
      </c>
      <c r="AX5" s="12">
        <f t="shared" si="1"/>
        <v>98958.09727</v>
      </c>
      <c r="AY5" s="12">
        <f t="shared" si="1"/>
        <v>98515.88782</v>
      </c>
      <c r="AZ5" s="12">
        <f t="shared" si="1"/>
        <v>89602.74964</v>
      </c>
      <c r="BA5" s="12">
        <f t="shared" si="1"/>
        <v>90040.24644</v>
      </c>
      <c r="BB5" s="12">
        <f t="shared" si="1"/>
        <v>86678.49705</v>
      </c>
      <c r="BC5" s="12">
        <f t="shared" si="1"/>
        <v>101013.0432</v>
      </c>
      <c r="BD5" s="12">
        <f t="shared" si="1"/>
        <v>105717.1478</v>
      </c>
      <c r="BE5" s="12">
        <f t="shared" si="1"/>
        <v>110792.2166</v>
      </c>
      <c r="BF5" s="12">
        <f t="shared" si="1"/>
        <v>125242.5971</v>
      </c>
      <c r="BG5" s="12">
        <f t="shared" si="1"/>
        <v>126887.4609</v>
      </c>
    </row>
    <row r="6">
      <c r="A6" s="10" t="s">
        <v>596</v>
      </c>
      <c r="B6" s="13" t="str">
        <f t="shared" ref="B6:BG6" si="2">B4/B3</f>
        <v>#N/A</v>
      </c>
      <c r="C6" s="14" t="str">
        <f t="shared" si="2"/>
        <v>#N/A</v>
      </c>
      <c r="D6" s="14" t="str">
        <f t="shared" si="2"/>
        <v>#N/A</v>
      </c>
      <c r="E6" s="14" t="str">
        <f t="shared" si="2"/>
        <v>#N/A</v>
      </c>
      <c r="F6" s="14" t="str">
        <f t="shared" si="2"/>
        <v>#N/A</v>
      </c>
      <c r="G6" s="14" t="str">
        <f t="shared" si="2"/>
        <v>#N/A</v>
      </c>
      <c r="H6" s="14" t="str">
        <f t="shared" si="2"/>
        <v>#N/A</v>
      </c>
      <c r="I6" s="14" t="str">
        <f t="shared" si="2"/>
        <v>#N/A</v>
      </c>
      <c r="J6" s="14" t="str">
        <f t="shared" si="2"/>
        <v>#N/A</v>
      </c>
      <c r="K6" s="14" t="str">
        <f t="shared" si="2"/>
        <v>#N/A</v>
      </c>
      <c r="L6" s="14" t="str">
        <f t="shared" si="2"/>
        <v>#N/A</v>
      </c>
      <c r="M6" s="14" t="str">
        <f t="shared" si="2"/>
        <v>#N/A</v>
      </c>
      <c r="N6" s="14" t="str">
        <f t="shared" si="2"/>
        <v>#N/A</v>
      </c>
      <c r="O6" s="14" t="str">
        <f t="shared" si="2"/>
        <v>#N/A</v>
      </c>
      <c r="P6" s="14" t="str">
        <f t="shared" si="2"/>
        <v>#N/A</v>
      </c>
      <c r="Q6" s="14" t="str">
        <f t="shared" si="2"/>
        <v>#N/A</v>
      </c>
      <c r="R6" s="14" t="str">
        <f t="shared" si="2"/>
        <v>#N/A</v>
      </c>
      <c r="S6" s="14" t="str">
        <f t="shared" si="2"/>
        <v>#N/A</v>
      </c>
      <c r="T6" s="14" t="str">
        <f t="shared" si="2"/>
        <v>#N/A</v>
      </c>
      <c r="U6" s="14">
        <f t="shared" si="2"/>
        <v>0.3072459598</v>
      </c>
      <c r="V6" s="14" t="str">
        <f t="shared" si="2"/>
        <v>#N/A</v>
      </c>
      <c r="W6" s="14">
        <f t="shared" si="2"/>
        <v>0.2786980914</v>
      </c>
      <c r="X6" s="14" t="str">
        <f t="shared" si="2"/>
        <v>#N/A</v>
      </c>
      <c r="Y6" s="14">
        <f t="shared" si="2"/>
        <v>0.3633650586</v>
      </c>
      <c r="Z6" s="14" t="str">
        <f t="shared" si="2"/>
        <v>#N/A</v>
      </c>
      <c r="AA6" s="14">
        <f t="shared" si="2"/>
        <v>0.391282002</v>
      </c>
      <c r="AB6" s="14" t="str">
        <f t="shared" si="2"/>
        <v>#N/A</v>
      </c>
      <c r="AC6" s="14">
        <f t="shared" si="2"/>
        <v>0.3300520448</v>
      </c>
      <c r="AD6" s="14" t="str">
        <f t="shared" si="2"/>
        <v>#N/A</v>
      </c>
      <c r="AE6" s="14" t="str">
        <f t="shared" si="2"/>
        <v>#N/A</v>
      </c>
      <c r="AF6" s="14" t="str">
        <f t="shared" si="2"/>
        <v>#N/A</v>
      </c>
      <c r="AG6" s="14" t="str">
        <f t="shared" si="2"/>
        <v>#N/A</v>
      </c>
      <c r="AH6" s="14" t="str">
        <f t="shared" si="2"/>
        <v>#N/A</v>
      </c>
      <c r="AI6" s="14" t="str">
        <f t="shared" si="2"/>
        <v>#N/A</v>
      </c>
      <c r="AJ6" s="14">
        <f t="shared" si="2"/>
        <v>0.1678212373</v>
      </c>
      <c r="AK6" s="14">
        <f t="shared" si="2"/>
        <v>0.187536845</v>
      </c>
      <c r="AL6" s="14">
        <f t="shared" si="2"/>
        <v>0.1919902724</v>
      </c>
      <c r="AM6" s="14" t="str">
        <f t="shared" si="2"/>
        <v>#N/A</v>
      </c>
      <c r="AN6" s="14" t="str">
        <f t="shared" si="2"/>
        <v>#N/A</v>
      </c>
      <c r="AO6" s="14" t="str">
        <f t="shared" si="2"/>
        <v>#N/A</v>
      </c>
      <c r="AP6" s="14" t="str">
        <f t="shared" si="2"/>
        <v>#N/A</v>
      </c>
      <c r="AQ6" s="14">
        <f t="shared" si="2"/>
        <v>0.1576819647</v>
      </c>
      <c r="AR6" s="14">
        <f t="shared" si="2"/>
        <v>0.1547489957</v>
      </c>
      <c r="AS6" s="14">
        <f t="shared" si="2"/>
        <v>0.1674202987</v>
      </c>
      <c r="AT6" s="14">
        <f t="shared" si="2"/>
        <v>0.1544542321</v>
      </c>
      <c r="AU6" s="14">
        <f t="shared" si="2"/>
        <v>0.1776213188</v>
      </c>
      <c r="AV6" s="14">
        <f t="shared" si="2"/>
        <v>0.1966169441</v>
      </c>
      <c r="AW6" s="14">
        <f t="shared" si="2"/>
        <v>0.1645572732</v>
      </c>
      <c r="AX6" s="14">
        <f t="shared" si="2"/>
        <v>0.1946387009</v>
      </c>
      <c r="AY6" s="14">
        <f t="shared" si="2"/>
        <v>0.228281461</v>
      </c>
      <c r="AZ6" s="14">
        <f t="shared" si="2"/>
        <v>0.228281461</v>
      </c>
      <c r="BA6" s="14">
        <f t="shared" si="2"/>
        <v>0.216862915</v>
      </c>
      <c r="BB6" s="14">
        <f t="shared" si="2"/>
        <v>0.2525345342</v>
      </c>
      <c r="BC6" s="14">
        <f t="shared" si="2"/>
        <v>0.2262217622</v>
      </c>
      <c r="BD6" s="14">
        <f t="shared" si="2"/>
        <v>0.2234856477</v>
      </c>
      <c r="BE6" s="14">
        <f t="shared" si="2"/>
        <v>0.2174930407</v>
      </c>
      <c r="BF6" s="14">
        <f t="shared" si="2"/>
        <v>0.230023588</v>
      </c>
      <c r="BG6" s="14">
        <f t="shared" si="2"/>
        <v>0.2310371551</v>
      </c>
    </row>
    <row r="7">
      <c r="A7" s="10" t="s">
        <v>622</v>
      </c>
      <c r="B7" s="13" t="str">
        <f t="shared" ref="B7:BG7" si="3">B5/B3</f>
        <v>#N/A</v>
      </c>
      <c r="C7" s="13" t="str">
        <f t="shared" si="3"/>
        <v>#N/A</v>
      </c>
      <c r="D7" s="13" t="str">
        <f t="shared" si="3"/>
        <v>#N/A</v>
      </c>
      <c r="E7" s="13" t="str">
        <f t="shared" si="3"/>
        <v>#N/A</v>
      </c>
      <c r="F7" s="13" t="str">
        <f t="shared" si="3"/>
        <v>#N/A</v>
      </c>
      <c r="G7" s="13" t="str">
        <f t="shared" si="3"/>
        <v>#N/A</v>
      </c>
      <c r="H7" s="13" t="str">
        <f t="shared" si="3"/>
        <v>#N/A</v>
      </c>
      <c r="I7" s="13" t="str">
        <f t="shared" si="3"/>
        <v>#N/A</v>
      </c>
      <c r="J7" s="13" t="str">
        <f t="shared" si="3"/>
        <v>#N/A</v>
      </c>
      <c r="K7" s="13" t="str">
        <f t="shared" si="3"/>
        <v>#N/A</v>
      </c>
      <c r="L7" s="13" t="str">
        <f t="shared" si="3"/>
        <v>#N/A</v>
      </c>
      <c r="M7" s="13" t="str">
        <f t="shared" si="3"/>
        <v>#N/A</v>
      </c>
      <c r="N7" s="13" t="str">
        <f t="shared" si="3"/>
        <v>#N/A</v>
      </c>
      <c r="O7" s="13" t="str">
        <f t="shared" si="3"/>
        <v>#N/A</v>
      </c>
      <c r="P7" s="13" t="str">
        <f t="shared" si="3"/>
        <v>#N/A</v>
      </c>
      <c r="Q7" s="13" t="str">
        <f t="shared" si="3"/>
        <v>#N/A</v>
      </c>
      <c r="R7" s="13" t="str">
        <f t="shared" si="3"/>
        <v>#N/A</v>
      </c>
      <c r="S7" s="13" t="str">
        <f t="shared" si="3"/>
        <v>#N/A</v>
      </c>
      <c r="T7" s="13" t="str">
        <f t="shared" si="3"/>
        <v>#N/A</v>
      </c>
      <c r="U7" s="13">
        <f t="shared" si="3"/>
        <v>0.6927540402</v>
      </c>
      <c r="V7" s="13" t="str">
        <f t="shared" si="3"/>
        <v>#N/A</v>
      </c>
      <c r="W7" s="13">
        <f t="shared" si="3"/>
        <v>0.7213019086</v>
      </c>
      <c r="X7" s="13" t="str">
        <f t="shared" si="3"/>
        <v>#N/A</v>
      </c>
      <c r="Y7" s="13">
        <f t="shared" si="3"/>
        <v>0.6366349414</v>
      </c>
      <c r="Z7" s="13" t="str">
        <f t="shared" si="3"/>
        <v>#N/A</v>
      </c>
      <c r="AA7" s="13">
        <f t="shared" si="3"/>
        <v>0.608717998</v>
      </c>
      <c r="AB7" s="13" t="str">
        <f t="shared" si="3"/>
        <v>#N/A</v>
      </c>
      <c r="AC7" s="13">
        <f t="shared" si="3"/>
        <v>0.6699479552</v>
      </c>
      <c r="AD7" s="13" t="str">
        <f t="shared" si="3"/>
        <v>#N/A</v>
      </c>
      <c r="AE7" s="13" t="str">
        <f t="shared" si="3"/>
        <v>#N/A</v>
      </c>
      <c r="AF7" s="13" t="str">
        <f t="shared" si="3"/>
        <v>#N/A</v>
      </c>
      <c r="AG7" s="13" t="str">
        <f t="shared" si="3"/>
        <v>#N/A</v>
      </c>
      <c r="AH7" s="13" t="str">
        <f t="shared" si="3"/>
        <v>#N/A</v>
      </c>
      <c r="AI7" s="13" t="str">
        <f t="shared" si="3"/>
        <v>#N/A</v>
      </c>
      <c r="AJ7" s="13">
        <f t="shared" si="3"/>
        <v>0.8321787627</v>
      </c>
      <c r="AK7" s="13">
        <f t="shared" si="3"/>
        <v>0.812463155</v>
      </c>
      <c r="AL7" s="13">
        <f t="shared" si="3"/>
        <v>0.8080097276</v>
      </c>
      <c r="AM7" s="13" t="str">
        <f t="shared" si="3"/>
        <v>#N/A</v>
      </c>
      <c r="AN7" s="13" t="str">
        <f t="shared" si="3"/>
        <v>#N/A</v>
      </c>
      <c r="AO7" s="13" t="str">
        <f t="shared" si="3"/>
        <v>#N/A</v>
      </c>
      <c r="AP7" s="13" t="str">
        <f t="shared" si="3"/>
        <v>#N/A</v>
      </c>
      <c r="AQ7" s="13">
        <f t="shared" si="3"/>
        <v>0.8423180353</v>
      </c>
      <c r="AR7" s="13">
        <f t="shared" si="3"/>
        <v>0.8452510043</v>
      </c>
      <c r="AS7" s="13">
        <f t="shared" si="3"/>
        <v>0.8325797013</v>
      </c>
      <c r="AT7" s="13">
        <f t="shared" si="3"/>
        <v>0.8455457679</v>
      </c>
      <c r="AU7" s="13">
        <f t="shared" si="3"/>
        <v>0.8223786812</v>
      </c>
      <c r="AV7" s="13">
        <f t="shared" si="3"/>
        <v>0.8033830559</v>
      </c>
      <c r="AW7" s="13">
        <f t="shared" si="3"/>
        <v>0.8354427268</v>
      </c>
      <c r="AX7" s="13">
        <f t="shared" si="3"/>
        <v>0.8053612991</v>
      </c>
      <c r="AY7" s="13">
        <f t="shared" si="3"/>
        <v>0.771718539</v>
      </c>
      <c r="AZ7" s="13">
        <f t="shared" si="3"/>
        <v>0.771718539</v>
      </c>
      <c r="BA7" s="13">
        <f t="shared" si="3"/>
        <v>0.783137085</v>
      </c>
      <c r="BB7" s="13">
        <f t="shared" si="3"/>
        <v>0.7474654658</v>
      </c>
      <c r="BC7" s="13">
        <f t="shared" si="3"/>
        <v>0.7737782378</v>
      </c>
      <c r="BD7" s="13">
        <f t="shared" si="3"/>
        <v>0.7765143523</v>
      </c>
      <c r="BE7" s="13">
        <f t="shared" si="3"/>
        <v>0.7825069593</v>
      </c>
      <c r="BF7" s="13">
        <f t="shared" si="3"/>
        <v>0.769976412</v>
      </c>
      <c r="BG7" s="13">
        <f t="shared" si="3"/>
        <v>0.7689628449</v>
      </c>
    </row>
    <row r="8">
      <c r="A8" s="10" t="s">
        <v>639</v>
      </c>
      <c r="B8" s="13" t="str">
        <f>IF(raw_imf!M383="",NA(),raw_imf!M383)/B3</f>
        <v>#N/A</v>
      </c>
      <c r="C8" s="13" t="str">
        <f>IF(raw_imf!N383="",NA(),raw_imf!N383)/C3</f>
        <v>#N/A</v>
      </c>
      <c r="D8" s="13" t="str">
        <f>IF(raw_imf!O383="",NA(),raw_imf!O383)/D3</f>
        <v>#N/A</v>
      </c>
      <c r="E8" s="13" t="str">
        <f>IF(raw_imf!P383="",NA(),raw_imf!P383)/E3</f>
        <v>#N/A</v>
      </c>
      <c r="F8" s="13" t="str">
        <f>IF(raw_imf!Q383="",NA(),raw_imf!Q383)/F3</f>
        <v>#N/A</v>
      </c>
      <c r="G8" s="13" t="str">
        <f>IF(raw_imf!R383="",NA(),raw_imf!R383)/G3</f>
        <v>#N/A</v>
      </c>
      <c r="H8" s="13" t="str">
        <f>IF(raw_imf!S383="",NA(),raw_imf!S383)/H3</f>
        <v>#N/A</v>
      </c>
      <c r="I8" s="13" t="str">
        <f>IF(raw_imf!T383="",NA(),raw_imf!T383)/I3</f>
        <v>#N/A</v>
      </c>
      <c r="J8" s="13" t="str">
        <f>IF(raw_imf!U383="",NA(),raw_imf!U383)/J3</f>
        <v>#N/A</v>
      </c>
      <c r="K8" s="13" t="str">
        <f>IF(raw_imf!V383="",NA(),raw_imf!V383)/K3</f>
        <v>#N/A</v>
      </c>
      <c r="L8" s="13" t="str">
        <f>IF(raw_imf!W383="",NA(),raw_imf!W383)/L3</f>
        <v>#N/A</v>
      </c>
      <c r="M8" s="13" t="str">
        <f>IF(raw_imf!X383="",NA(),raw_imf!X383)/M3</f>
        <v>#N/A</v>
      </c>
      <c r="N8" s="13" t="str">
        <f>IF(raw_imf!Y383="",NA(),raw_imf!Y383)/N3</f>
        <v>#N/A</v>
      </c>
      <c r="O8" s="13" t="str">
        <f>IF(raw_imf!Z383="",NA(),raw_imf!Z383)/O3</f>
        <v>#N/A</v>
      </c>
      <c r="P8" s="13" t="str">
        <f>IF(raw_imf!AA383="",NA(),raw_imf!AA383)/P3</f>
        <v>#N/A</v>
      </c>
      <c r="Q8" s="13" t="str">
        <f>IF(raw_imf!AB383="",NA(),raw_imf!AB383)/Q3</f>
        <v>#N/A</v>
      </c>
      <c r="R8" s="13" t="str">
        <f>IF(raw_imf!AC383="",NA(),raw_imf!AC383)/R3</f>
        <v>#N/A</v>
      </c>
      <c r="S8" s="13" t="str">
        <f>IF(raw_imf!AD383="",NA(),raw_imf!AD383)/S3</f>
        <v>#N/A</v>
      </c>
      <c r="T8" s="13" t="str">
        <f>IF(raw_imf!AE383="",NA(),raw_imf!AE383)/T3</f>
        <v>#N/A</v>
      </c>
      <c r="U8" s="13" t="str">
        <f>IF(raw_imf!AF383="",NA(),raw_imf!AF383)/U3</f>
        <v>#N/A</v>
      </c>
      <c r="V8" s="13" t="str">
        <f>IF(raw_imf!AG383="",NA(),raw_imf!AG383)/V3</f>
        <v>#N/A</v>
      </c>
      <c r="W8" s="13">
        <f>IF(raw_imf!AH383="",NA(),raw_imf!AH383)/W3</f>
        <v>0.4493282226</v>
      </c>
      <c r="X8" s="13" t="str">
        <f>IF(raw_imf!AI383="",NA(),raw_imf!AI383)/X3</f>
        <v>#N/A</v>
      </c>
      <c r="Y8" s="13">
        <f>IF(raw_imf!AJ383="",NA(),raw_imf!AJ383)/Y3</f>
        <v>0.3699959313</v>
      </c>
      <c r="Z8" s="13" t="str">
        <f>IF(raw_imf!AK383="",NA(),raw_imf!AK383)/Z3</f>
        <v>#N/A</v>
      </c>
      <c r="AA8" s="13">
        <f>IF(raw_imf!AL383="",NA(),raw_imf!AL383)/AA3</f>
        <v>0.2754627999</v>
      </c>
      <c r="AB8" s="13" t="str">
        <f>IF(raw_imf!AM383="",NA(),raw_imf!AM383)/AB3</f>
        <v>#N/A</v>
      </c>
      <c r="AC8" s="13">
        <f>IF(raw_imf!AN383="",NA(),raw_imf!AN383)/AC3</f>
        <v>0.3621105694</v>
      </c>
      <c r="AD8" s="13" t="str">
        <f>IF(raw_imf!AO383="",NA(),raw_imf!AO383)/AD3</f>
        <v>#N/A</v>
      </c>
      <c r="AE8" s="13" t="str">
        <f>IF(raw_imf!AP383="",NA(),raw_imf!AP383)/AE3</f>
        <v>#N/A</v>
      </c>
      <c r="AF8" s="13" t="str">
        <f>IF(raw_imf!AQ383="",NA(),raw_imf!AQ383)/AF3</f>
        <v>#N/A</v>
      </c>
      <c r="AG8" s="13" t="str">
        <f>IF(raw_imf!AR383="",NA(),raw_imf!AR383)/AG3</f>
        <v>#N/A</v>
      </c>
      <c r="AH8" s="13" t="str">
        <f>IF(raw_imf!AS383="",NA(),raw_imf!AS383)/AH3</f>
        <v>#N/A</v>
      </c>
      <c r="AI8" s="13" t="str">
        <f>IF(raw_imf!AT383="",NA(),raw_imf!AT383)/AI3</f>
        <v>#N/A</v>
      </c>
      <c r="AJ8" s="13">
        <f>IF(raw_imf!AU383="",NA(),raw_imf!AU383)/AJ3</f>
        <v>0.5063956123</v>
      </c>
      <c r="AK8" s="13">
        <f>IF(raw_imf!AV383="",NA(),raw_imf!AV383)/AK3</f>
        <v>0.4580053404</v>
      </c>
      <c r="AL8" s="13">
        <f>IF(raw_imf!AW383="",NA(),raw_imf!AW383)/AL3</f>
        <v>0.4628754685</v>
      </c>
      <c r="AM8" s="13">
        <f>IF(raw_imf!AX383="",NA(),raw_imf!AX383)/AM3</f>
        <v>0.8843981107</v>
      </c>
      <c r="AN8" s="13">
        <f>IF(raw_imf!AY383="",NA(),raw_imf!AY383)/AN3</f>
        <v>0.8838270888</v>
      </c>
      <c r="AO8" s="13">
        <f>IF(raw_imf!AZ383="",NA(),raw_imf!AZ383)/AO3</f>
        <v>0.7383619189</v>
      </c>
      <c r="AP8" s="13">
        <f>IF(raw_imf!BA383="",NA(),raw_imf!BA383)/AP3</f>
        <v>0.8693930515</v>
      </c>
      <c r="AQ8" s="13">
        <f>IF(raw_imf!BB383="",NA(),raw_imf!BB383)/AQ3</f>
        <v>0.3842295893</v>
      </c>
      <c r="AR8" s="13">
        <f>IF(raw_imf!BC383="",NA(),raw_imf!BC383)/AR3</f>
        <v>0.3734907966</v>
      </c>
      <c r="AS8" s="13">
        <f>IF(raw_imf!BD383="",NA(),raw_imf!BD383)/AS3</f>
        <v>0.3511877474</v>
      </c>
      <c r="AT8" s="13">
        <f>IF(raw_imf!BE383="",NA(),raw_imf!BE383)/AT3</f>
        <v>0.3209174878</v>
      </c>
      <c r="AU8" s="13">
        <f>IF(raw_imf!BF383="",NA(),raw_imf!BF383)/AU3</f>
        <v>0.6368807964</v>
      </c>
      <c r="AV8" s="13">
        <f>IF(raw_imf!BG383="",NA(),raw_imf!BG383)/AV3</f>
        <v>0.3314291502</v>
      </c>
      <c r="AW8" s="13">
        <f>IF(raw_imf!BH383="",NA(),raw_imf!BH383)/AW3</f>
        <v>0.3663052938</v>
      </c>
      <c r="AX8" s="13">
        <f>IF(raw_imf!BI383="",NA(),raw_imf!BI383)/AX3</f>
        <v>0.3032712661</v>
      </c>
      <c r="AY8" s="13">
        <f>IF(raw_imf!BJ383="",NA(),raw_imf!BJ383)/AY3</f>
        <v>0.3529349769</v>
      </c>
      <c r="AZ8" s="13">
        <f>IF(raw_imf!BK383="",NA(),raw_imf!BK383)/AZ3</f>
        <v>0.3529349769</v>
      </c>
      <c r="BA8" s="13">
        <f>IF(raw_imf!BL383="",NA(),raw_imf!BL383)/BA3</f>
        <v>0.3932154203</v>
      </c>
      <c r="BB8" s="13">
        <f>IF(raw_imf!BM383="",NA(),raw_imf!BM383)/BB3</f>
        <v>0.7185739818</v>
      </c>
      <c r="BC8" s="13">
        <f>IF(raw_imf!BN383="",NA(),raw_imf!BN383)/BC3</f>
        <v>0.7248070957</v>
      </c>
      <c r="BD8" s="13">
        <f>IF(raw_imf!BO383="",NA(),raw_imf!BO383)/BD3</f>
        <v>0.5031978894</v>
      </c>
      <c r="BE8" s="13">
        <f>IF(raw_imf!BP383="",NA(),raw_imf!BP383)/BE3</f>
        <v>0.4136242971</v>
      </c>
      <c r="BF8" s="13">
        <f>IF(raw_imf!BQ383="",NA(),raw_imf!BQ383)/BF3</f>
        <v>0.4089653096</v>
      </c>
      <c r="BG8" s="13">
        <f>IF(raw_imf!BR383="",NA(),raw_imf!BR383)/BG3</f>
        <v>0.4020866523</v>
      </c>
    </row>
    <row r="10">
      <c r="A10" s="9" t="s">
        <v>713</v>
      </c>
    </row>
    <row r="11">
      <c r="A11" s="10" t="s">
        <v>714</v>
      </c>
      <c r="B11" s="11" t="str">
        <f>IF(raw_imf!M467="",NA(),raw_imf!M467)</f>
        <v>#N/A</v>
      </c>
      <c r="C11" s="11">
        <f>IF(raw_imf!N467="",NA(),raw_imf!N467)</f>
        <v>10221.90763</v>
      </c>
      <c r="D11" s="11" t="str">
        <f>IF(raw_imf!O467="",NA(),raw_imf!O467)</f>
        <v>#N/A</v>
      </c>
      <c r="E11" s="11" t="str">
        <f>IF(raw_imf!P467="",NA(),raw_imf!P467)</f>
        <v>#N/A</v>
      </c>
      <c r="F11" s="11" t="str">
        <f>IF(raw_imf!Q467="",NA(),raw_imf!Q467)</f>
        <v>#N/A</v>
      </c>
      <c r="G11" s="11" t="str">
        <f>IF(raw_imf!R467="",NA(),raw_imf!R467)</f>
        <v>#N/A</v>
      </c>
      <c r="H11" s="11" t="str">
        <f>IF(raw_imf!S467="",NA(),raw_imf!S467)</f>
        <v>#N/A</v>
      </c>
      <c r="I11" s="11" t="str">
        <f>IF(raw_imf!T467="",NA(),raw_imf!T467)</f>
        <v>#N/A</v>
      </c>
      <c r="J11" s="11" t="str">
        <f>IF(raw_imf!U467="",NA(),raw_imf!U467)</f>
        <v>#N/A</v>
      </c>
      <c r="K11" s="11">
        <f>IF(raw_imf!V467="",NA(),raw_imf!V467)</f>
        <v>13276.20493</v>
      </c>
      <c r="L11" s="11" t="str">
        <f>IF(raw_imf!W467="",NA(),raw_imf!W467)</f>
        <v>#N/A</v>
      </c>
      <c r="M11" s="11">
        <f>IF(raw_imf!X467="",NA(),raw_imf!X467)</f>
        <v>12072.67215</v>
      </c>
      <c r="N11" s="11" t="str">
        <f>IF(raw_imf!Y467="",NA(),raw_imf!Y467)</f>
        <v>#N/A</v>
      </c>
      <c r="O11" s="11">
        <f>IF(raw_imf!Z467="",NA(),raw_imf!Z467)</f>
        <v>14522.90974</v>
      </c>
      <c r="P11" s="11" t="str">
        <f>IF(raw_imf!AA467="",NA(),raw_imf!AA467)</f>
        <v>#N/A</v>
      </c>
      <c r="Q11" s="11">
        <f>IF(raw_imf!AB467="",NA(),raw_imf!AB467)</f>
        <v>25960.02292</v>
      </c>
      <c r="R11" s="11" t="str">
        <f>IF(raw_imf!AC467="",NA(),raw_imf!AC467)</f>
        <v>#N/A</v>
      </c>
      <c r="S11" s="11">
        <f>IF(raw_imf!AD467="",NA(),raw_imf!AD467)</f>
        <v>21968.27137</v>
      </c>
      <c r="T11" s="11" t="str">
        <f>IF(raw_imf!AE467="",NA(),raw_imf!AE467)</f>
        <v>#N/A</v>
      </c>
      <c r="U11" s="11">
        <f>IF(raw_imf!AF467="",NA(),raw_imf!AF467)</f>
        <v>23535.99387</v>
      </c>
      <c r="V11" s="11" t="str">
        <f>IF(raw_imf!AG467="",NA(),raw_imf!AG467)</f>
        <v>#N/A</v>
      </c>
      <c r="W11" s="11">
        <f>IF(raw_imf!AH467="",NA(),raw_imf!AH467)</f>
        <v>25443.98324</v>
      </c>
      <c r="X11" s="11" t="str">
        <f>IF(raw_imf!AI467="",NA(),raw_imf!AI467)</f>
        <v>#N/A</v>
      </c>
      <c r="Y11" s="11">
        <f>IF(raw_imf!AJ467="",NA(),raw_imf!AJ467)</f>
        <v>27376.75044</v>
      </c>
      <c r="Z11" s="11">
        <f>IF(raw_imf!AK467="",NA(),raw_imf!AK467)</f>
        <v>3235.2726</v>
      </c>
      <c r="AA11" s="11">
        <f>IF(raw_imf!AL467="",NA(),raw_imf!AL467)</f>
        <v>32745.81586</v>
      </c>
      <c r="AB11" s="11">
        <f>IF(raw_imf!AM467="",NA(),raw_imf!AM467)</f>
        <v>2218.5968</v>
      </c>
      <c r="AC11" s="11">
        <f>IF(raw_imf!AN467="",NA(),raw_imf!AN467)</f>
        <v>35185.29466</v>
      </c>
      <c r="AD11" s="11">
        <f>IF(raw_imf!AO467="",NA(),raw_imf!AO467)</f>
        <v>2436.7758</v>
      </c>
      <c r="AE11" s="11">
        <f>IF(raw_imf!AP467="",NA(),raw_imf!AP467)</f>
        <v>40522.28825</v>
      </c>
      <c r="AF11" s="11">
        <f>IF(raw_imf!AQ467="",NA(),raw_imf!AQ467)</f>
        <v>2315.301</v>
      </c>
      <c r="AG11" s="11">
        <f>IF(raw_imf!AR467="",NA(),raw_imf!AR467)</f>
        <v>41706.89821</v>
      </c>
      <c r="AH11" s="11">
        <f>IF(raw_imf!AS467="",NA(),raw_imf!AS467)</f>
        <v>35597.89314</v>
      </c>
      <c r="AI11" s="11">
        <f>IF(raw_imf!AT467="",NA(),raw_imf!AT467)</f>
        <v>41395.20303</v>
      </c>
      <c r="AJ11" s="11">
        <f>IF(raw_imf!AU467="",NA(),raw_imf!AU467)</f>
        <v>41525.1515</v>
      </c>
      <c r="AK11" s="11">
        <f>IF(raw_imf!AV467="",NA(),raw_imf!AV467)</f>
        <v>47485.6455</v>
      </c>
      <c r="AL11" s="11">
        <f>IF(raw_imf!AW467="",NA(),raw_imf!AW467)</f>
        <v>39789.36981</v>
      </c>
      <c r="AM11" s="11">
        <f>IF(raw_imf!AX467="",NA(),raw_imf!AX467)</f>
        <v>46408.75081</v>
      </c>
      <c r="AN11" s="11">
        <f>IF(raw_imf!AY467="",NA(),raw_imf!AY467)</f>
        <v>40519.3749</v>
      </c>
      <c r="AO11" s="11">
        <f>IF(raw_imf!AZ467="",NA(),raw_imf!AZ467)</f>
        <v>46892.69073</v>
      </c>
      <c r="AP11" s="11">
        <f>IF(raw_imf!BA467="",NA(),raw_imf!BA467)</f>
        <v>46590.26447</v>
      </c>
      <c r="AQ11" s="11">
        <f>IF(raw_imf!BB467="",NA(),raw_imf!BB467)</f>
        <v>48229.96886</v>
      </c>
      <c r="AR11" s="11">
        <f>IF(raw_imf!BC467="",NA(),raw_imf!BC467)</f>
        <v>43724.83492</v>
      </c>
      <c r="AS11" s="11">
        <f>IF(raw_imf!BD467="",NA(),raw_imf!BD467)</f>
        <v>50488.64945</v>
      </c>
      <c r="AT11" s="11">
        <f>IF(raw_imf!BE467="",NA(),raw_imf!BE467)</f>
        <v>44678.68903</v>
      </c>
      <c r="AU11" s="11">
        <f>IF(raw_imf!BF467="",NA(),raw_imf!BF467)</f>
        <v>60509.15802</v>
      </c>
      <c r="AV11" s="11">
        <f>IF(raw_imf!BG467="",NA(),raw_imf!BG467)</f>
        <v>46565.89776</v>
      </c>
      <c r="AW11" s="11">
        <f>IF(raw_imf!BH467="",NA(),raw_imf!BH467)</f>
        <v>67390.90178</v>
      </c>
      <c r="AX11" s="11">
        <f>IF(raw_imf!BI467="",NA(),raw_imf!BI467)</f>
        <v>53490.09664</v>
      </c>
      <c r="AY11" s="11">
        <f>IF(raw_imf!BJ467="",NA(),raw_imf!BJ467)</f>
        <v>69883.45878</v>
      </c>
      <c r="AZ11" s="11">
        <f>IF(raw_imf!BK467="",NA(),raw_imf!BK467)</f>
        <v>53572.56206</v>
      </c>
      <c r="BA11" s="11">
        <f>IF(raw_imf!BL467="",NA(),raw_imf!BL467)</f>
        <v>67504.45998</v>
      </c>
      <c r="BB11" s="11">
        <f>IF(raw_imf!BM467="",NA(),raw_imf!BM467)</f>
        <v>58558.37425</v>
      </c>
      <c r="BC11" s="11">
        <f>IF(raw_imf!BN467="",NA(),raw_imf!BN467)</f>
        <v>80156.81721</v>
      </c>
      <c r="BD11" s="11">
        <f>IF(raw_imf!BO467="",NA(),raw_imf!BO467)</f>
        <v>66753.00119</v>
      </c>
      <c r="BE11" s="11">
        <f>IF(raw_imf!BP467="",NA(),raw_imf!BP467)</f>
        <v>80816.13202</v>
      </c>
      <c r="BF11" s="11">
        <f>IF(raw_imf!BQ467="",NA(),raw_imf!BQ467)</f>
        <v>69083.85592</v>
      </c>
      <c r="BG11" s="11">
        <f>IF(raw_imf!BR467="",NA(),raw_imf!BR467)</f>
        <v>89752.61449</v>
      </c>
    </row>
    <row r="12">
      <c r="A12" s="10" t="s">
        <v>748</v>
      </c>
      <c r="B12" s="11" t="str">
        <f>IF(raw_imf!M468="",NA(),raw_imf!M468)</f>
        <v>#N/A</v>
      </c>
      <c r="C12" s="11">
        <f>IF(raw_imf!N468="",NA(),raw_imf!N468)</f>
        <v>3469</v>
      </c>
      <c r="D12" s="11" t="str">
        <f>IF(raw_imf!O468="",NA(),raw_imf!O468)</f>
        <v>#N/A</v>
      </c>
      <c r="E12" s="11" t="str">
        <f>IF(raw_imf!P468="",NA(),raw_imf!P468)</f>
        <v>#N/A</v>
      </c>
      <c r="F12" s="11" t="str">
        <f>IF(raw_imf!Q468="",NA(),raw_imf!Q468)</f>
        <v>#N/A</v>
      </c>
      <c r="G12" s="11" t="str">
        <f>IF(raw_imf!R468="",NA(),raw_imf!R468)</f>
        <v>#N/A</v>
      </c>
      <c r="H12" s="11" t="str">
        <f>IF(raw_imf!S468="",NA(),raw_imf!S468)</f>
        <v>#N/A</v>
      </c>
      <c r="I12" s="11" t="str">
        <f>IF(raw_imf!T468="",NA(),raw_imf!T468)</f>
        <v>#N/A</v>
      </c>
      <c r="J12" s="11" t="str">
        <f>IF(raw_imf!U468="",NA(),raw_imf!U468)</f>
        <v>#N/A</v>
      </c>
      <c r="K12" s="11">
        <f>IF(raw_imf!V468="",NA(),raw_imf!V468)</f>
        <v>2125.168547</v>
      </c>
      <c r="L12" s="11" t="str">
        <f>IF(raw_imf!W468="",NA(),raw_imf!W468)</f>
        <v>#N/A</v>
      </c>
      <c r="M12" s="11">
        <f>IF(raw_imf!X468="",NA(),raw_imf!X468)</f>
        <v>3471.341919</v>
      </c>
      <c r="N12" s="11" t="str">
        <f>IF(raw_imf!Y468="",NA(),raw_imf!Y468)</f>
        <v>#N/A</v>
      </c>
      <c r="O12" s="11">
        <f>IF(raw_imf!Z468="",NA(),raw_imf!Z468)</f>
        <v>6697</v>
      </c>
      <c r="P12" s="11" t="str">
        <f>IF(raw_imf!AA468="",NA(),raw_imf!AA468)</f>
        <v>#N/A</v>
      </c>
      <c r="Q12" s="11">
        <f>IF(raw_imf!AB468="",NA(),raw_imf!AB468)</f>
        <v>7313.725834</v>
      </c>
      <c r="R12" s="11" t="str">
        <f>IF(raw_imf!AC468="",NA(),raw_imf!AC468)</f>
        <v>#N/A</v>
      </c>
      <c r="S12" s="11">
        <f>IF(raw_imf!AD468="",NA(),raw_imf!AD468)</f>
        <v>7302</v>
      </c>
      <c r="T12" s="11" t="str">
        <f>IF(raw_imf!AE468="",NA(),raw_imf!AE468)</f>
        <v>#N/A</v>
      </c>
      <c r="U12" s="11">
        <f>IF(raw_imf!AF468="",NA(),raw_imf!AF468)</f>
        <v>6701</v>
      </c>
      <c r="V12" s="11" t="str">
        <f>IF(raw_imf!AG468="",NA(),raw_imf!AG468)</f>
        <v>#N/A</v>
      </c>
      <c r="W12" s="11">
        <f>IF(raw_imf!AH468="",NA(),raw_imf!AH468)</f>
        <v>5858</v>
      </c>
      <c r="X12" s="11" t="str">
        <f>IF(raw_imf!AI468="",NA(),raw_imf!AI468)</f>
        <v>#N/A</v>
      </c>
      <c r="Y12" s="11">
        <f>IF(raw_imf!AJ468="",NA(),raw_imf!AJ468)</f>
        <v>10531</v>
      </c>
      <c r="Z12" s="11" t="str">
        <f>IF(raw_imf!AK468="",NA(),raw_imf!AK468)</f>
        <v>#N/A</v>
      </c>
      <c r="AA12" s="11">
        <f>IF(raw_imf!AL468="",NA(),raw_imf!AL468)</f>
        <v>12933</v>
      </c>
      <c r="AB12" s="11" t="str">
        <f>IF(raw_imf!AM468="",NA(),raw_imf!AM468)</f>
        <v>#N/A</v>
      </c>
      <c r="AC12" s="11">
        <f>IF(raw_imf!AN468="",NA(),raw_imf!AN468)</f>
        <v>14196</v>
      </c>
      <c r="AD12" s="11" t="str">
        <f>IF(raw_imf!AO468="",NA(),raw_imf!AO468)</f>
        <v>#N/A</v>
      </c>
      <c r="AE12" s="11">
        <f>IF(raw_imf!AP468="",NA(),raw_imf!AP468)</f>
        <v>15274</v>
      </c>
      <c r="AF12" s="11" t="str">
        <f>IF(raw_imf!AQ468="",NA(),raw_imf!AQ468)</f>
        <v>#N/A</v>
      </c>
      <c r="AG12" s="11">
        <f>IF(raw_imf!AR468="",NA(),raw_imf!AR468)</f>
        <v>14097</v>
      </c>
      <c r="AH12" s="11">
        <f>IF(raw_imf!AS468="",NA(),raw_imf!AS468)</f>
        <v>12614.057</v>
      </c>
      <c r="AI12" s="11">
        <f>IF(raw_imf!AT468="",NA(),raw_imf!AT468)</f>
        <v>12699.8</v>
      </c>
      <c r="AJ12" s="11">
        <f>IF(raw_imf!AU468="",NA(),raw_imf!AU468)</f>
        <v>14994.2</v>
      </c>
      <c r="AK12" s="11">
        <f>IF(raw_imf!AV468="",NA(),raw_imf!AV468)</f>
        <v>15982</v>
      </c>
      <c r="AL12" s="11">
        <f>IF(raw_imf!AW468="",NA(),raw_imf!AW468)</f>
        <v>12815</v>
      </c>
      <c r="AM12" s="11">
        <f>IF(raw_imf!AX468="",NA(),raw_imf!AX468)</f>
        <v>13516</v>
      </c>
      <c r="AN12" s="11">
        <f>IF(raw_imf!AY468="",NA(),raw_imf!AY468)</f>
        <v>13795</v>
      </c>
      <c r="AO12" s="11">
        <f>IF(raw_imf!AZ468="",NA(),raw_imf!AZ468)</f>
        <v>12447</v>
      </c>
      <c r="AP12" s="11">
        <f>IF(raw_imf!BA468="",NA(),raw_imf!BA468)</f>
        <v>12671</v>
      </c>
      <c r="AQ12" s="11">
        <f>IF(raw_imf!BB468="",NA(),raw_imf!BB468)</f>
        <v>10842</v>
      </c>
      <c r="AR12" s="11">
        <f>IF(raw_imf!BC468="",NA(),raw_imf!BC468)</f>
        <v>12433</v>
      </c>
      <c r="AS12" s="11">
        <f>IF(raw_imf!BD468="",NA(),raw_imf!BD468)</f>
        <v>13201</v>
      </c>
      <c r="AT12" s="11">
        <f>IF(raw_imf!BE468="",NA(),raw_imf!BE468)</f>
        <v>13070</v>
      </c>
      <c r="AU12" s="11">
        <f>IF(raw_imf!BF468="",NA(),raw_imf!BF468)</f>
        <v>15501</v>
      </c>
      <c r="AV12" s="11">
        <f>IF(raw_imf!BG468="",NA(),raw_imf!BG468)</f>
        <v>13142</v>
      </c>
      <c r="AW12" s="11">
        <f>IF(raw_imf!BH468="",NA(),raw_imf!BH468)</f>
        <v>14999</v>
      </c>
      <c r="AX12" s="11">
        <f>IF(raw_imf!BI468="",NA(),raw_imf!BI468)</f>
        <v>15637</v>
      </c>
      <c r="AY12" s="11">
        <f>IF(raw_imf!BJ468="",NA(),raw_imf!BJ468)</f>
        <v>17482</v>
      </c>
      <c r="AZ12" s="11">
        <f>IF(raw_imf!BK468="",NA(),raw_imf!BK468)</f>
        <v>15005</v>
      </c>
      <c r="BA12" s="11">
        <f>IF(raw_imf!BL468="",NA(),raw_imf!BL468)</f>
        <v>17308</v>
      </c>
      <c r="BB12" s="11">
        <f>IF(raw_imf!BM468="",NA(),raw_imf!BM468)</f>
        <v>13842</v>
      </c>
      <c r="BC12" s="11">
        <f>IF(raw_imf!BN468="",NA(),raw_imf!BN468)</f>
        <v>14709</v>
      </c>
      <c r="BD12" s="11">
        <f>IF(raw_imf!BO468="",NA(),raw_imf!BO468)</f>
        <v>13944</v>
      </c>
      <c r="BE12" s="11">
        <f>IF(raw_imf!BP468="",NA(),raw_imf!BP468)</f>
        <v>14121</v>
      </c>
      <c r="BF12" s="11">
        <f>IF(raw_imf!BQ468="",NA(),raw_imf!BQ468)</f>
        <v>15222</v>
      </c>
      <c r="BG12" s="11">
        <f>IF(raw_imf!BR468="",NA(),raw_imf!BR468)</f>
        <v>17327</v>
      </c>
    </row>
    <row r="13">
      <c r="A13" s="10" t="s">
        <v>579</v>
      </c>
      <c r="B13" s="11" t="str">
        <f t="shared" ref="B13:BG13" si="4">B11-B12</f>
        <v>#N/A</v>
      </c>
      <c r="C13" s="11">
        <f t="shared" si="4"/>
        <v>6752.907625</v>
      </c>
      <c r="D13" s="11" t="str">
        <f t="shared" si="4"/>
        <v>#N/A</v>
      </c>
      <c r="E13" s="11" t="str">
        <f t="shared" si="4"/>
        <v>#N/A</v>
      </c>
      <c r="F13" s="11" t="str">
        <f t="shared" si="4"/>
        <v>#N/A</v>
      </c>
      <c r="G13" s="11" t="str">
        <f t="shared" si="4"/>
        <v>#N/A</v>
      </c>
      <c r="H13" s="11" t="str">
        <f t="shared" si="4"/>
        <v>#N/A</v>
      </c>
      <c r="I13" s="11" t="str">
        <f t="shared" si="4"/>
        <v>#N/A</v>
      </c>
      <c r="J13" s="11" t="str">
        <f t="shared" si="4"/>
        <v>#N/A</v>
      </c>
      <c r="K13" s="11">
        <f t="shared" si="4"/>
        <v>11151.03639</v>
      </c>
      <c r="L13" s="11" t="str">
        <f t="shared" si="4"/>
        <v>#N/A</v>
      </c>
      <c r="M13" s="11">
        <f t="shared" si="4"/>
        <v>8601.330235</v>
      </c>
      <c r="N13" s="11" t="str">
        <f t="shared" si="4"/>
        <v>#N/A</v>
      </c>
      <c r="O13" s="11">
        <f t="shared" si="4"/>
        <v>7825.909737</v>
      </c>
      <c r="P13" s="11" t="str">
        <f t="shared" si="4"/>
        <v>#N/A</v>
      </c>
      <c r="Q13" s="11">
        <f t="shared" si="4"/>
        <v>18646.29708</v>
      </c>
      <c r="R13" s="11" t="str">
        <f t="shared" si="4"/>
        <v>#N/A</v>
      </c>
      <c r="S13" s="11">
        <f t="shared" si="4"/>
        <v>14666.27137</v>
      </c>
      <c r="T13" s="11" t="str">
        <f t="shared" si="4"/>
        <v>#N/A</v>
      </c>
      <c r="U13" s="11">
        <f t="shared" si="4"/>
        <v>16834.99387</v>
      </c>
      <c r="V13" s="11" t="str">
        <f t="shared" si="4"/>
        <v>#N/A</v>
      </c>
      <c r="W13" s="11">
        <f t="shared" si="4"/>
        <v>19585.98324</v>
      </c>
      <c r="X13" s="11" t="str">
        <f t="shared" si="4"/>
        <v>#N/A</v>
      </c>
      <c r="Y13" s="11">
        <f t="shared" si="4"/>
        <v>16845.75044</v>
      </c>
      <c r="Z13" s="11" t="str">
        <f t="shared" si="4"/>
        <v>#N/A</v>
      </c>
      <c r="AA13" s="11">
        <f t="shared" si="4"/>
        <v>19812.81586</v>
      </c>
      <c r="AB13" s="11" t="str">
        <f t="shared" si="4"/>
        <v>#N/A</v>
      </c>
      <c r="AC13" s="11">
        <f t="shared" si="4"/>
        <v>20989.29466</v>
      </c>
      <c r="AD13" s="11" t="str">
        <f t="shared" si="4"/>
        <v>#N/A</v>
      </c>
      <c r="AE13" s="11">
        <f t="shared" si="4"/>
        <v>25248.28825</v>
      </c>
      <c r="AF13" s="11" t="str">
        <f t="shared" si="4"/>
        <v>#N/A</v>
      </c>
      <c r="AG13" s="11">
        <f t="shared" si="4"/>
        <v>27609.89821</v>
      </c>
      <c r="AH13" s="11">
        <f t="shared" si="4"/>
        <v>22983.83614</v>
      </c>
      <c r="AI13" s="11">
        <f t="shared" si="4"/>
        <v>28695.40303</v>
      </c>
      <c r="AJ13" s="11">
        <f t="shared" si="4"/>
        <v>26530.9515</v>
      </c>
      <c r="AK13" s="11">
        <f t="shared" si="4"/>
        <v>31503.6455</v>
      </c>
      <c r="AL13" s="11">
        <f t="shared" si="4"/>
        <v>26974.36981</v>
      </c>
      <c r="AM13" s="11">
        <f t="shared" si="4"/>
        <v>32892.75081</v>
      </c>
      <c r="AN13" s="11">
        <f t="shared" si="4"/>
        <v>26724.3749</v>
      </c>
      <c r="AO13" s="11">
        <f t="shared" si="4"/>
        <v>34445.69073</v>
      </c>
      <c r="AP13" s="11">
        <f t="shared" si="4"/>
        <v>33919.26447</v>
      </c>
      <c r="AQ13" s="11">
        <f t="shared" si="4"/>
        <v>37387.96886</v>
      </c>
      <c r="AR13" s="11">
        <f t="shared" si="4"/>
        <v>31291.83492</v>
      </c>
      <c r="AS13" s="11">
        <f t="shared" si="4"/>
        <v>37287.64945</v>
      </c>
      <c r="AT13" s="11">
        <f t="shared" si="4"/>
        <v>31608.68903</v>
      </c>
      <c r="AU13" s="11">
        <f t="shared" si="4"/>
        <v>45008.15802</v>
      </c>
      <c r="AV13" s="11">
        <f t="shared" si="4"/>
        <v>33423.89776</v>
      </c>
      <c r="AW13" s="11">
        <f t="shared" si="4"/>
        <v>52391.90178</v>
      </c>
      <c r="AX13" s="11">
        <f t="shared" si="4"/>
        <v>37853.09664</v>
      </c>
      <c r="AY13" s="11">
        <f t="shared" si="4"/>
        <v>52401.45878</v>
      </c>
      <c r="AZ13" s="11">
        <f t="shared" si="4"/>
        <v>38567.56206</v>
      </c>
      <c r="BA13" s="11">
        <f t="shared" si="4"/>
        <v>50196.45998</v>
      </c>
      <c r="BB13" s="11">
        <f t="shared" si="4"/>
        <v>44716.37425</v>
      </c>
      <c r="BC13" s="11">
        <f t="shared" si="4"/>
        <v>65447.81721</v>
      </c>
      <c r="BD13" s="11">
        <f t="shared" si="4"/>
        <v>52809.00119</v>
      </c>
      <c r="BE13" s="11">
        <f t="shared" si="4"/>
        <v>66695.13202</v>
      </c>
      <c r="BF13" s="11">
        <f t="shared" si="4"/>
        <v>53861.85592</v>
      </c>
      <c r="BG13" s="11">
        <f t="shared" si="4"/>
        <v>72425.61449</v>
      </c>
    </row>
    <row r="14">
      <c r="A14" s="10" t="s">
        <v>596</v>
      </c>
      <c r="B14" s="13" t="str">
        <f t="shared" ref="B14:BG14" si="5">B12/B11</f>
        <v>#N/A</v>
      </c>
      <c r="C14" s="13">
        <f t="shared" si="5"/>
        <v>0.33936914</v>
      </c>
      <c r="D14" s="13" t="str">
        <f t="shared" si="5"/>
        <v>#N/A</v>
      </c>
      <c r="E14" s="13" t="str">
        <f t="shared" si="5"/>
        <v>#N/A</v>
      </c>
      <c r="F14" s="13" t="str">
        <f t="shared" si="5"/>
        <v>#N/A</v>
      </c>
      <c r="G14" s="13" t="str">
        <f t="shared" si="5"/>
        <v>#N/A</v>
      </c>
      <c r="H14" s="13" t="str">
        <f t="shared" si="5"/>
        <v>#N/A</v>
      </c>
      <c r="I14" s="13" t="str">
        <f t="shared" si="5"/>
        <v>#N/A</v>
      </c>
      <c r="J14" s="13" t="str">
        <f t="shared" si="5"/>
        <v>#N/A</v>
      </c>
      <c r="K14" s="13">
        <f t="shared" si="5"/>
        <v>0.1600734967</v>
      </c>
      <c r="L14" s="13" t="str">
        <f t="shared" si="5"/>
        <v>#N/A</v>
      </c>
      <c r="M14" s="13">
        <f t="shared" si="5"/>
        <v>0.2875371645</v>
      </c>
      <c r="N14" s="13" t="str">
        <f t="shared" si="5"/>
        <v>#N/A</v>
      </c>
      <c r="O14" s="13">
        <f t="shared" si="5"/>
        <v>0.4611334864</v>
      </c>
      <c r="P14" s="13" t="str">
        <f t="shared" si="5"/>
        <v>#N/A</v>
      </c>
      <c r="Q14" s="13">
        <f t="shared" si="5"/>
        <v>0.2817303304</v>
      </c>
      <c r="R14" s="13" t="str">
        <f t="shared" si="5"/>
        <v>#N/A</v>
      </c>
      <c r="S14" s="13">
        <f t="shared" si="5"/>
        <v>0.332388465</v>
      </c>
      <c r="T14" s="13" t="str">
        <f t="shared" si="5"/>
        <v>#N/A</v>
      </c>
      <c r="U14" s="13">
        <f t="shared" si="5"/>
        <v>0.2847128545</v>
      </c>
      <c r="V14" s="13" t="str">
        <f t="shared" si="5"/>
        <v>#N/A</v>
      </c>
      <c r="W14" s="13">
        <f t="shared" si="5"/>
        <v>0.2302312474</v>
      </c>
      <c r="X14" s="13" t="str">
        <f t="shared" si="5"/>
        <v>#N/A</v>
      </c>
      <c r="Y14" s="13">
        <f t="shared" si="5"/>
        <v>0.384669467</v>
      </c>
      <c r="Z14" s="13" t="str">
        <f t="shared" si="5"/>
        <v>#N/A</v>
      </c>
      <c r="AA14" s="13">
        <f t="shared" si="5"/>
        <v>0.3949512223</v>
      </c>
      <c r="AB14" s="13" t="str">
        <f t="shared" si="5"/>
        <v>#N/A</v>
      </c>
      <c r="AC14" s="13">
        <f t="shared" si="5"/>
        <v>0.4034640078</v>
      </c>
      <c r="AD14" s="13" t="str">
        <f t="shared" si="5"/>
        <v>#N/A</v>
      </c>
      <c r="AE14" s="13">
        <f t="shared" si="5"/>
        <v>0.3769283686</v>
      </c>
      <c r="AF14" s="13" t="str">
        <f t="shared" si="5"/>
        <v>#N/A</v>
      </c>
      <c r="AG14" s="13">
        <f t="shared" si="5"/>
        <v>0.3380016402</v>
      </c>
      <c r="AH14" s="13">
        <f t="shared" si="5"/>
        <v>0.3543484147</v>
      </c>
      <c r="AI14" s="13">
        <f t="shared" si="5"/>
        <v>0.3067940019</v>
      </c>
      <c r="AJ14" s="13">
        <f t="shared" si="5"/>
        <v>0.3610871835</v>
      </c>
      <c r="AK14" s="13">
        <f t="shared" si="5"/>
        <v>0.3365648678</v>
      </c>
      <c r="AL14" s="13">
        <f t="shared" si="5"/>
        <v>0.3220709466</v>
      </c>
      <c r="AM14" s="13">
        <f t="shared" si="5"/>
        <v>0.2912381774</v>
      </c>
      <c r="AN14" s="13">
        <f t="shared" si="5"/>
        <v>0.3404544131</v>
      </c>
      <c r="AO14" s="13">
        <f t="shared" si="5"/>
        <v>0.2654358239</v>
      </c>
      <c r="AP14" s="13">
        <f t="shared" si="5"/>
        <v>0.2719666897</v>
      </c>
      <c r="AQ14" s="13">
        <f t="shared" si="5"/>
        <v>0.2247979888</v>
      </c>
      <c r="AR14" s="13">
        <f t="shared" si="5"/>
        <v>0.2843464137</v>
      </c>
      <c r="AS14" s="13">
        <f t="shared" si="5"/>
        <v>0.2614647083</v>
      </c>
      <c r="AT14" s="13">
        <f t="shared" si="5"/>
        <v>0.2925332029</v>
      </c>
      <c r="AU14" s="13">
        <f t="shared" si="5"/>
        <v>0.2561760981</v>
      </c>
      <c r="AV14" s="13">
        <f t="shared" si="5"/>
        <v>0.2822237009</v>
      </c>
      <c r="AW14" s="13">
        <f t="shared" si="5"/>
        <v>0.222567136</v>
      </c>
      <c r="AX14" s="13">
        <f t="shared" si="5"/>
        <v>0.2923344877</v>
      </c>
      <c r="AY14" s="13">
        <f t="shared" si="5"/>
        <v>0.2501593411</v>
      </c>
      <c r="AZ14" s="13">
        <f t="shared" si="5"/>
        <v>0.2800874071</v>
      </c>
      <c r="BA14" s="13">
        <f t="shared" si="5"/>
        <v>0.2563978736</v>
      </c>
      <c r="BB14" s="13">
        <f t="shared" si="5"/>
        <v>0.2363795132</v>
      </c>
      <c r="BC14" s="13">
        <f t="shared" si="5"/>
        <v>0.1835027951</v>
      </c>
      <c r="BD14" s="13">
        <f t="shared" si="5"/>
        <v>0.2088894844</v>
      </c>
      <c r="BE14" s="13">
        <f t="shared" si="5"/>
        <v>0.174729966</v>
      </c>
      <c r="BF14" s="13">
        <f t="shared" si="5"/>
        <v>0.2203409146</v>
      </c>
      <c r="BG14" s="13">
        <f t="shared" si="5"/>
        <v>0.193052872</v>
      </c>
    </row>
    <row r="15">
      <c r="A15" s="10" t="s">
        <v>622</v>
      </c>
      <c r="B15" s="13" t="str">
        <f t="shared" ref="B15:BG15" si="6">B13/B11</f>
        <v>#N/A</v>
      </c>
      <c r="C15" s="13">
        <f t="shared" si="6"/>
        <v>0.66063086</v>
      </c>
      <c r="D15" s="13" t="str">
        <f t="shared" si="6"/>
        <v>#N/A</v>
      </c>
      <c r="E15" s="13" t="str">
        <f t="shared" si="6"/>
        <v>#N/A</v>
      </c>
      <c r="F15" s="13" t="str">
        <f t="shared" si="6"/>
        <v>#N/A</v>
      </c>
      <c r="G15" s="13" t="str">
        <f t="shared" si="6"/>
        <v>#N/A</v>
      </c>
      <c r="H15" s="13" t="str">
        <f t="shared" si="6"/>
        <v>#N/A</v>
      </c>
      <c r="I15" s="13" t="str">
        <f t="shared" si="6"/>
        <v>#N/A</v>
      </c>
      <c r="J15" s="13" t="str">
        <f t="shared" si="6"/>
        <v>#N/A</v>
      </c>
      <c r="K15" s="13">
        <f t="shared" si="6"/>
        <v>0.8399265033</v>
      </c>
      <c r="L15" s="13" t="str">
        <f t="shared" si="6"/>
        <v>#N/A</v>
      </c>
      <c r="M15" s="13">
        <f t="shared" si="6"/>
        <v>0.7124628355</v>
      </c>
      <c r="N15" s="13" t="str">
        <f t="shared" si="6"/>
        <v>#N/A</v>
      </c>
      <c r="O15" s="13">
        <f t="shared" si="6"/>
        <v>0.5388665136</v>
      </c>
      <c r="P15" s="13" t="str">
        <f t="shared" si="6"/>
        <v>#N/A</v>
      </c>
      <c r="Q15" s="13">
        <f t="shared" si="6"/>
        <v>0.7182696696</v>
      </c>
      <c r="R15" s="13" t="str">
        <f t="shared" si="6"/>
        <v>#N/A</v>
      </c>
      <c r="S15" s="13">
        <f t="shared" si="6"/>
        <v>0.667611535</v>
      </c>
      <c r="T15" s="13" t="str">
        <f t="shared" si="6"/>
        <v>#N/A</v>
      </c>
      <c r="U15" s="13">
        <f t="shared" si="6"/>
        <v>0.7152871455</v>
      </c>
      <c r="V15" s="13" t="str">
        <f t="shared" si="6"/>
        <v>#N/A</v>
      </c>
      <c r="W15" s="13">
        <f t="shared" si="6"/>
        <v>0.7697687526</v>
      </c>
      <c r="X15" s="13" t="str">
        <f t="shared" si="6"/>
        <v>#N/A</v>
      </c>
      <c r="Y15" s="13">
        <f t="shared" si="6"/>
        <v>0.615330533</v>
      </c>
      <c r="Z15" s="13" t="str">
        <f t="shared" si="6"/>
        <v>#N/A</v>
      </c>
      <c r="AA15" s="13">
        <f t="shared" si="6"/>
        <v>0.6050487777</v>
      </c>
      <c r="AB15" s="13" t="str">
        <f t="shared" si="6"/>
        <v>#N/A</v>
      </c>
      <c r="AC15" s="13">
        <f t="shared" si="6"/>
        <v>0.5965359922</v>
      </c>
      <c r="AD15" s="13" t="str">
        <f t="shared" si="6"/>
        <v>#N/A</v>
      </c>
      <c r="AE15" s="13">
        <f t="shared" si="6"/>
        <v>0.6230716314</v>
      </c>
      <c r="AF15" s="13" t="str">
        <f t="shared" si="6"/>
        <v>#N/A</v>
      </c>
      <c r="AG15" s="13">
        <f t="shared" si="6"/>
        <v>0.6619983598</v>
      </c>
      <c r="AH15" s="13">
        <f t="shared" si="6"/>
        <v>0.6456515853</v>
      </c>
      <c r="AI15" s="13">
        <f t="shared" si="6"/>
        <v>0.6932059981</v>
      </c>
      <c r="AJ15" s="13">
        <f t="shared" si="6"/>
        <v>0.6389128165</v>
      </c>
      <c r="AK15" s="13">
        <f t="shared" si="6"/>
        <v>0.6634351322</v>
      </c>
      <c r="AL15" s="13">
        <f t="shared" si="6"/>
        <v>0.6779290534</v>
      </c>
      <c r="AM15" s="13">
        <f t="shared" si="6"/>
        <v>0.7087618226</v>
      </c>
      <c r="AN15" s="13">
        <f t="shared" si="6"/>
        <v>0.6595455869</v>
      </c>
      <c r="AO15" s="13">
        <f t="shared" si="6"/>
        <v>0.7345641761</v>
      </c>
      <c r="AP15" s="13">
        <f t="shared" si="6"/>
        <v>0.7280333103</v>
      </c>
      <c r="AQ15" s="13">
        <f t="shared" si="6"/>
        <v>0.7752020112</v>
      </c>
      <c r="AR15" s="13">
        <f t="shared" si="6"/>
        <v>0.7156535863</v>
      </c>
      <c r="AS15" s="13">
        <f t="shared" si="6"/>
        <v>0.7385352917</v>
      </c>
      <c r="AT15" s="13">
        <f t="shared" si="6"/>
        <v>0.7074667971</v>
      </c>
      <c r="AU15" s="13">
        <f t="shared" si="6"/>
        <v>0.7438239019</v>
      </c>
      <c r="AV15" s="13">
        <f t="shared" si="6"/>
        <v>0.7177762991</v>
      </c>
      <c r="AW15" s="13">
        <f t="shared" si="6"/>
        <v>0.777432864</v>
      </c>
      <c r="AX15" s="13">
        <f t="shared" si="6"/>
        <v>0.7076655123</v>
      </c>
      <c r="AY15" s="13">
        <f t="shared" si="6"/>
        <v>0.7498406589</v>
      </c>
      <c r="AZ15" s="13">
        <f t="shared" si="6"/>
        <v>0.7199125929</v>
      </c>
      <c r="BA15" s="13">
        <f t="shared" si="6"/>
        <v>0.7436021264</v>
      </c>
      <c r="BB15" s="13">
        <f t="shared" si="6"/>
        <v>0.7636204868</v>
      </c>
      <c r="BC15" s="13">
        <f t="shared" si="6"/>
        <v>0.8164972049</v>
      </c>
      <c r="BD15" s="13">
        <f t="shared" si="6"/>
        <v>0.7911105156</v>
      </c>
      <c r="BE15" s="13">
        <f t="shared" si="6"/>
        <v>0.825270034</v>
      </c>
      <c r="BF15" s="13">
        <f t="shared" si="6"/>
        <v>0.7796590854</v>
      </c>
      <c r="BG15" s="13">
        <f t="shared" si="6"/>
        <v>0.806947128</v>
      </c>
    </row>
    <row r="17">
      <c r="A17" s="15" t="s">
        <v>806</v>
      </c>
      <c r="B17" s="11" t="str">
        <f t="shared" ref="B17:BG17" si="7">B3</f>
        <v>#N/A</v>
      </c>
      <c r="C17" s="11" t="str">
        <f t="shared" si="7"/>
        <v>#N/A</v>
      </c>
      <c r="D17" s="11" t="str">
        <f t="shared" si="7"/>
        <v>#N/A</v>
      </c>
      <c r="E17" s="11" t="str">
        <f t="shared" si="7"/>
        <v>#N/A</v>
      </c>
      <c r="F17" s="11" t="str">
        <f t="shared" si="7"/>
        <v>#N/A</v>
      </c>
      <c r="G17" s="11" t="str">
        <f t="shared" si="7"/>
        <v>#N/A</v>
      </c>
      <c r="H17" s="11" t="str">
        <f t="shared" si="7"/>
        <v>#N/A</v>
      </c>
      <c r="I17" s="11" t="str">
        <f t="shared" si="7"/>
        <v>#N/A</v>
      </c>
      <c r="J17" s="11" t="str">
        <f t="shared" si="7"/>
        <v>#N/A</v>
      </c>
      <c r="K17" s="11" t="str">
        <f t="shared" si="7"/>
        <v>#N/A</v>
      </c>
      <c r="L17" s="11" t="str">
        <f t="shared" si="7"/>
        <v>#N/A</v>
      </c>
      <c r="M17" s="11" t="str">
        <f t="shared" si="7"/>
        <v>#N/A</v>
      </c>
      <c r="N17" s="11" t="str">
        <f t="shared" si="7"/>
        <v>#N/A</v>
      </c>
      <c r="O17" s="11" t="str">
        <f t="shared" si="7"/>
        <v>#N/A</v>
      </c>
      <c r="P17" s="11" t="str">
        <f t="shared" si="7"/>
        <v>#N/A</v>
      </c>
      <c r="Q17" s="11" t="str">
        <f t="shared" si="7"/>
        <v>#N/A</v>
      </c>
      <c r="R17" s="11" t="str">
        <f t="shared" si="7"/>
        <v>#N/A</v>
      </c>
      <c r="S17" s="11" t="str">
        <f t="shared" si="7"/>
        <v>#N/A</v>
      </c>
      <c r="T17" s="11" t="str">
        <f t="shared" si="7"/>
        <v>#N/A</v>
      </c>
      <c r="U17" s="11">
        <f t="shared" si="7"/>
        <v>44160.3981</v>
      </c>
      <c r="V17" s="11" t="str">
        <f t="shared" si="7"/>
        <v>#N/A</v>
      </c>
      <c r="W17" s="11">
        <f t="shared" si="7"/>
        <v>58357.278</v>
      </c>
      <c r="X17" s="11" t="str">
        <f t="shared" si="7"/>
        <v>#N/A</v>
      </c>
      <c r="Y17" s="11">
        <f t="shared" si="7"/>
        <v>46349.89842</v>
      </c>
      <c r="Z17" s="11" t="str">
        <f t="shared" si="7"/>
        <v>#N/A</v>
      </c>
      <c r="AA17" s="11">
        <f t="shared" si="7"/>
        <v>56866.36377</v>
      </c>
      <c r="AB17" s="11" t="str">
        <f t="shared" si="7"/>
        <v>#N/A</v>
      </c>
      <c r="AC17" s="11">
        <f t="shared" si="7"/>
        <v>65761.16535</v>
      </c>
      <c r="AD17" s="11" t="str">
        <f t="shared" si="7"/>
        <v>#N/A</v>
      </c>
      <c r="AE17" s="11" t="str">
        <f t="shared" si="7"/>
        <v>#N/A</v>
      </c>
      <c r="AF17" s="11" t="str">
        <f t="shared" si="7"/>
        <v>#N/A</v>
      </c>
      <c r="AG17" s="11" t="str">
        <f t="shared" si="7"/>
        <v>#N/A</v>
      </c>
      <c r="AH17" s="11" t="str">
        <f t="shared" si="7"/>
        <v>#N/A</v>
      </c>
      <c r="AI17" s="11" t="str">
        <f t="shared" si="7"/>
        <v>#N/A</v>
      </c>
      <c r="AJ17" s="11">
        <f t="shared" si="7"/>
        <v>94886.9896</v>
      </c>
      <c r="AK17" s="11">
        <f t="shared" si="7"/>
        <v>90305.9492</v>
      </c>
      <c r="AL17" s="11">
        <f t="shared" si="7"/>
        <v>83988.14909</v>
      </c>
      <c r="AM17" s="11">
        <f t="shared" si="7"/>
        <v>84611.27891</v>
      </c>
      <c r="AN17" s="11">
        <f t="shared" si="7"/>
        <v>92275.40418</v>
      </c>
      <c r="AO17" s="11">
        <f t="shared" si="7"/>
        <v>93134.66518</v>
      </c>
      <c r="AP17" s="11">
        <f t="shared" si="7"/>
        <v>107340.8103</v>
      </c>
      <c r="AQ17" s="11">
        <f t="shared" si="7"/>
        <v>107282.0987</v>
      </c>
      <c r="AR17" s="11">
        <f t="shared" si="7"/>
        <v>107153.7506</v>
      </c>
      <c r="AS17" s="11">
        <f t="shared" si="7"/>
        <v>106237.3745</v>
      </c>
      <c r="AT17" s="11">
        <f t="shared" si="7"/>
        <v>110669.1733</v>
      </c>
      <c r="AU17" s="11">
        <f t="shared" si="7"/>
        <v>114072.7431</v>
      </c>
      <c r="AV17" s="11">
        <f t="shared" si="7"/>
        <v>111822.0042</v>
      </c>
      <c r="AW17" s="11">
        <f t="shared" si="7"/>
        <v>122014.222</v>
      </c>
      <c r="AX17" s="11">
        <f t="shared" si="7"/>
        <v>122874.1652</v>
      </c>
      <c r="AY17" s="11">
        <f t="shared" si="7"/>
        <v>127657.796</v>
      </c>
      <c r="AZ17" s="11">
        <f t="shared" si="7"/>
        <v>116108.0693</v>
      </c>
      <c r="BA17" s="11">
        <f t="shared" si="7"/>
        <v>114973.7998</v>
      </c>
      <c r="BB17" s="11">
        <f t="shared" si="7"/>
        <v>115963.213</v>
      </c>
      <c r="BC17" s="11">
        <f t="shared" si="7"/>
        <v>130545.2108</v>
      </c>
      <c r="BD17" s="11">
        <f t="shared" si="7"/>
        <v>136143.1988</v>
      </c>
      <c r="BE17" s="11">
        <f t="shared" si="7"/>
        <v>141586.238</v>
      </c>
      <c r="BF17" s="11">
        <f t="shared" si="7"/>
        <v>162657.7063</v>
      </c>
      <c r="BG17" s="11">
        <f t="shared" si="7"/>
        <v>165011.1729</v>
      </c>
    </row>
    <row r="18">
      <c r="A18" s="15" t="s">
        <v>815</v>
      </c>
      <c r="B18" s="11" t="str">
        <f t="shared" ref="B18:BG18" si="8">IFERROR(B12,B4)</f>
        <v>#N/A</v>
      </c>
      <c r="C18" s="11">
        <f t="shared" si="8"/>
        <v>3469</v>
      </c>
      <c r="D18" s="11" t="str">
        <f t="shared" si="8"/>
        <v>#N/A</v>
      </c>
      <c r="E18" s="11" t="str">
        <f t="shared" si="8"/>
        <v>#N/A</v>
      </c>
      <c r="F18" s="11" t="str">
        <f t="shared" si="8"/>
        <v>#N/A</v>
      </c>
      <c r="G18" s="11" t="str">
        <f t="shared" si="8"/>
        <v>#N/A</v>
      </c>
      <c r="H18" s="11" t="str">
        <f t="shared" si="8"/>
        <v>#N/A</v>
      </c>
      <c r="I18" s="11" t="str">
        <f t="shared" si="8"/>
        <v>#N/A</v>
      </c>
      <c r="J18" s="11" t="str">
        <f t="shared" si="8"/>
        <v>#N/A</v>
      </c>
      <c r="K18" s="11">
        <f t="shared" si="8"/>
        <v>2125.168547</v>
      </c>
      <c r="L18" s="11" t="str">
        <f t="shared" si="8"/>
        <v>#N/A</v>
      </c>
      <c r="M18" s="11">
        <f t="shared" si="8"/>
        <v>3471.341919</v>
      </c>
      <c r="N18" s="11" t="str">
        <f t="shared" si="8"/>
        <v>#N/A</v>
      </c>
      <c r="O18" s="11">
        <f t="shared" si="8"/>
        <v>6697</v>
      </c>
      <c r="P18" s="11" t="str">
        <f t="shared" si="8"/>
        <v>#N/A</v>
      </c>
      <c r="Q18" s="11">
        <f t="shared" si="8"/>
        <v>7313.725834</v>
      </c>
      <c r="R18" s="11" t="str">
        <f t="shared" si="8"/>
        <v>#N/A</v>
      </c>
      <c r="S18" s="11">
        <f t="shared" si="8"/>
        <v>7302</v>
      </c>
      <c r="T18" s="11" t="str">
        <f t="shared" si="8"/>
        <v>#N/A</v>
      </c>
      <c r="U18" s="11">
        <f t="shared" si="8"/>
        <v>6701</v>
      </c>
      <c r="V18" s="11" t="str">
        <f t="shared" si="8"/>
        <v>#N/A</v>
      </c>
      <c r="W18" s="11">
        <f t="shared" si="8"/>
        <v>5858</v>
      </c>
      <c r="X18" s="11" t="str">
        <f t="shared" si="8"/>
        <v>#N/A</v>
      </c>
      <c r="Y18" s="11">
        <f t="shared" si="8"/>
        <v>10531</v>
      </c>
      <c r="Z18" s="11" t="str">
        <f t="shared" si="8"/>
        <v>#N/A</v>
      </c>
      <c r="AA18" s="11">
        <f t="shared" si="8"/>
        <v>12933</v>
      </c>
      <c r="AB18" s="11" t="str">
        <f t="shared" si="8"/>
        <v>#N/A</v>
      </c>
      <c r="AC18" s="11">
        <f t="shared" si="8"/>
        <v>14196</v>
      </c>
      <c r="AD18" s="11" t="str">
        <f t="shared" si="8"/>
        <v>#N/A</v>
      </c>
      <c r="AE18" s="11">
        <f t="shared" si="8"/>
        <v>15274</v>
      </c>
      <c r="AF18" s="11" t="str">
        <f t="shared" si="8"/>
        <v>#N/A</v>
      </c>
      <c r="AG18" s="11">
        <f t="shared" si="8"/>
        <v>14097</v>
      </c>
      <c r="AH18" s="11">
        <f t="shared" si="8"/>
        <v>12614.057</v>
      </c>
      <c r="AI18" s="11">
        <f t="shared" si="8"/>
        <v>12699.8</v>
      </c>
      <c r="AJ18" s="11">
        <f t="shared" si="8"/>
        <v>14994.2</v>
      </c>
      <c r="AK18" s="11">
        <f t="shared" si="8"/>
        <v>15982</v>
      </c>
      <c r="AL18" s="11">
        <f t="shared" si="8"/>
        <v>12815</v>
      </c>
      <c r="AM18" s="11">
        <f t="shared" si="8"/>
        <v>13516</v>
      </c>
      <c r="AN18" s="11">
        <f t="shared" si="8"/>
        <v>13795</v>
      </c>
      <c r="AO18" s="11">
        <f t="shared" si="8"/>
        <v>12447</v>
      </c>
      <c r="AP18" s="11">
        <f t="shared" si="8"/>
        <v>12671</v>
      </c>
      <c r="AQ18" s="11">
        <f t="shared" si="8"/>
        <v>10842</v>
      </c>
      <c r="AR18" s="11">
        <f t="shared" si="8"/>
        <v>12433</v>
      </c>
      <c r="AS18" s="11">
        <f t="shared" si="8"/>
        <v>13201</v>
      </c>
      <c r="AT18" s="11">
        <f t="shared" si="8"/>
        <v>13070</v>
      </c>
      <c r="AU18" s="11">
        <f t="shared" si="8"/>
        <v>15501</v>
      </c>
      <c r="AV18" s="11">
        <f t="shared" si="8"/>
        <v>13142</v>
      </c>
      <c r="AW18" s="11">
        <f t="shared" si="8"/>
        <v>14999</v>
      </c>
      <c r="AX18" s="11">
        <f t="shared" si="8"/>
        <v>15637</v>
      </c>
      <c r="AY18" s="11">
        <f t="shared" si="8"/>
        <v>17482</v>
      </c>
      <c r="AZ18" s="11">
        <f t="shared" si="8"/>
        <v>15005</v>
      </c>
      <c r="BA18" s="11">
        <f t="shared" si="8"/>
        <v>17308</v>
      </c>
      <c r="BB18" s="11">
        <f t="shared" si="8"/>
        <v>13842</v>
      </c>
      <c r="BC18" s="11">
        <f t="shared" si="8"/>
        <v>14709</v>
      </c>
      <c r="BD18" s="11">
        <f t="shared" si="8"/>
        <v>13944</v>
      </c>
      <c r="BE18" s="11">
        <f t="shared" si="8"/>
        <v>14121</v>
      </c>
      <c r="BF18" s="11">
        <f t="shared" si="8"/>
        <v>15222</v>
      </c>
      <c r="BG18" s="11">
        <f t="shared" si="8"/>
        <v>17327</v>
      </c>
    </row>
    <row r="19">
      <c r="A19" s="10" t="s">
        <v>823</v>
      </c>
      <c r="B19" s="16" t="str">
        <f t="shared" ref="B19:BG19" si="9">B18/B17</f>
        <v>#N/A</v>
      </c>
      <c r="C19" s="16" t="str">
        <f t="shared" si="9"/>
        <v>#N/A</v>
      </c>
      <c r="D19" s="16" t="str">
        <f t="shared" si="9"/>
        <v>#N/A</v>
      </c>
      <c r="E19" s="16" t="str">
        <f t="shared" si="9"/>
        <v>#N/A</v>
      </c>
      <c r="F19" s="16" t="str">
        <f t="shared" si="9"/>
        <v>#N/A</v>
      </c>
      <c r="G19" s="16" t="str">
        <f t="shared" si="9"/>
        <v>#N/A</v>
      </c>
      <c r="H19" s="16" t="str">
        <f t="shared" si="9"/>
        <v>#N/A</v>
      </c>
      <c r="I19" s="16" t="str">
        <f t="shared" si="9"/>
        <v>#N/A</v>
      </c>
      <c r="J19" s="16" t="str">
        <f t="shared" si="9"/>
        <v>#N/A</v>
      </c>
      <c r="K19" s="16" t="str">
        <f t="shared" si="9"/>
        <v>#N/A</v>
      </c>
      <c r="L19" s="16" t="str">
        <f t="shared" si="9"/>
        <v>#N/A</v>
      </c>
      <c r="M19" s="16" t="str">
        <f t="shared" si="9"/>
        <v>#N/A</v>
      </c>
      <c r="N19" s="16" t="str">
        <f t="shared" si="9"/>
        <v>#N/A</v>
      </c>
      <c r="O19" s="16" t="str">
        <f t="shared" si="9"/>
        <v>#N/A</v>
      </c>
      <c r="P19" s="16" t="str">
        <f t="shared" si="9"/>
        <v>#N/A</v>
      </c>
      <c r="Q19" s="16" t="str">
        <f t="shared" si="9"/>
        <v>#N/A</v>
      </c>
      <c r="R19" s="16" t="str">
        <f t="shared" si="9"/>
        <v>#N/A</v>
      </c>
      <c r="S19" s="16" t="str">
        <f t="shared" si="9"/>
        <v>#N/A</v>
      </c>
      <c r="T19" s="16" t="str">
        <f t="shared" si="9"/>
        <v>#N/A</v>
      </c>
      <c r="U19" s="16">
        <f t="shared" si="9"/>
        <v>0.1517422915</v>
      </c>
      <c r="V19" s="16" t="str">
        <f t="shared" si="9"/>
        <v>#N/A</v>
      </c>
      <c r="W19" s="16">
        <f t="shared" si="9"/>
        <v>0.1003816525</v>
      </c>
      <c r="X19" s="16" t="str">
        <f t="shared" si="9"/>
        <v>#N/A</v>
      </c>
      <c r="Y19" s="16">
        <f t="shared" si="9"/>
        <v>0.2272065389</v>
      </c>
      <c r="Z19" s="16" t="str">
        <f t="shared" si="9"/>
        <v>#N/A</v>
      </c>
      <c r="AA19" s="16">
        <f t="shared" si="9"/>
        <v>0.2274279406</v>
      </c>
      <c r="AB19" s="16" t="str">
        <f t="shared" si="9"/>
        <v>#N/A</v>
      </c>
      <c r="AC19" s="16">
        <f t="shared" si="9"/>
        <v>0.2158720869</v>
      </c>
      <c r="AD19" s="16" t="str">
        <f t="shared" si="9"/>
        <v>#N/A</v>
      </c>
      <c r="AE19" s="16" t="str">
        <f t="shared" si="9"/>
        <v>#N/A</v>
      </c>
      <c r="AF19" s="16" t="str">
        <f t="shared" si="9"/>
        <v>#N/A</v>
      </c>
      <c r="AG19" s="16" t="str">
        <f t="shared" si="9"/>
        <v>#N/A</v>
      </c>
      <c r="AH19" s="16" t="str">
        <f t="shared" si="9"/>
        <v>#N/A</v>
      </c>
      <c r="AI19" s="16" t="str">
        <f t="shared" si="9"/>
        <v>#N/A</v>
      </c>
      <c r="AJ19" s="16">
        <f t="shared" si="9"/>
        <v>0.1580216641</v>
      </c>
      <c r="AK19" s="16">
        <f t="shared" si="9"/>
        <v>0.1769761587</v>
      </c>
      <c r="AL19" s="16">
        <f t="shared" si="9"/>
        <v>0.1525810503</v>
      </c>
      <c r="AM19" s="16">
        <f t="shared" si="9"/>
        <v>0.1597422965</v>
      </c>
      <c r="AN19" s="16">
        <f t="shared" si="9"/>
        <v>0.149498126</v>
      </c>
      <c r="AO19" s="16">
        <f t="shared" si="9"/>
        <v>0.1336451897</v>
      </c>
      <c r="AP19" s="16">
        <f t="shared" si="9"/>
        <v>0.118044572</v>
      </c>
      <c r="AQ19" s="16">
        <f t="shared" si="9"/>
        <v>0.1010606628</v>
      </c>
      <c r="AR19" s="16">
        <f t="shared" si="9"/>
        <v>0.1160295364</v>
      </c>
      <c r="AS19" s="16">
        <f t="shared" si="9"/>
        <v>0.1242594715</v>
      </c>
      <c r="AT19" s="16">
        <f t="shared" si="9"/>
        <v>0.1180997346</v>
      </c>
      <c r="AU19" s="16">
        <f t="shared" si="9"/>
        <v>0.1358869751</v>
      </c>
      <c r="AV19" s="16">
        <f t="shared" si="9"/>
        <v>0.1175260638</v>
      </c>
      <c r="AW19" s="16">
        <f t="shared" si="9"/>
        <v>0.1229282927</v>
      </c>
      <c r="AX19" s="16">
        <f t="shared" si="9"/>
        <v>0.1272602746</v>
      </c>
      <c r="AY19" s="16">
        <f t="shared" si="9"/>
        <v>0.1369442412</v>
      </c>
      <c r="AZ19" s="16">
        <f t="shared" si="9"/>
        <v>0.1292330506</v>
      </c>
      <c r="BA19" s="16">
        <f t="shared" si="9"/>
        <v>0.1505386447</v>
      </c>
      <c r="BB19" s="16">
        <f t="shared" si="9"/>
        <v>0.1193654404</v>
      </c>
      <c r="BC19" s="16">
        <f t="shared" si="9"/>
        <v>0.1126736087</v>
      </c>
      <c r="BD19" s="16">
        <f t="shared" si="9"/>
        <v>0.1024215688</v>
      </c>
      <c r="BE19" s="16">
        <f t="shared" si="9"/>
        <v>0.09973426936</v>
      </c>
      <c r="BF19" s="16">
        <f t="shared" si="9"/>
        <v>0.09358302379</v>
      </c>
      <c r="BG19" s="16">
        <f t="shared" si="9"/>
        <v>0.1050050109</v>
      </c>
    </row>
    <row r="20">
      <c r="A20" s="10" t="s">
        <v>831</v>
      </c>
      <c r="B20" s="16" t="str">
        <f t="shared" ref="B20:BG20" si="10">1-B19</f>
        <v>#N/A</v>
      </c>
      <c r="C20" s="16" t="str">
        <f t="shared" si="10"/>
        <v>#N/A</v>
      </c>
      <c r="D20" s="16" t="str">
        <f t="shared" si="10"/>
        <v>#N/A</v>
      </c>
      <c r="E20" s="16" t="str">
        <f t="shared" si="10"/>
        <v>#N/A</v>
      </c>
      <c r="F20" s="16" t="str">
        <f t="shared" si="10"/>
        <v>#N/A</v>
      </c>
      <c r="G20" s="16" t="str">
        <f t="shared" si="10"/>
        <v>#N/A</v>
      </c>
      <c r="H20" s="16" t="str">
        <f t="shared" si="10"/>
        <v>#N/A</v>
      </c>
      <c r="I20" s="16" t="str">
        <f t="shared" si="10"/>
        <v>#N/A</v>
      </c>
      <c r="J20" s="16" t="str">
        <f t="shared" si="10"/>
        <v>#N/A</v>
      </c>
      <c r="K20" s="16" t="str">
        <f t="shared" si="10"/>
        <v>#N/A</v>
      </c>
      <c r="L20" s="16" t="str">
        <f t="shared" si="10"/>
        <v>#N/A</v>
      </c>
      <c r="M20" s="16" t="str">
        <f t="shared" si="10"/>
        <v>#N/A</v>
      </c>
      <c r="N20" s="16" t="str">
        <f t="shared" si="10"/>
        <v>#N/A</v>
      </c>
      <c r="O20" s="16" t="str">
        <f t="shared" si="10"/>
        <v>#N/A</v>
      </c>
      <c r="P20" s="16" t="str">
        <f t="shared" si="10"/>
        <v>#N/A</v>
      </c>
      <c r="Q20" s="16" t="str">
        <f t="shared" si="10"/>
        <v>#N/A</v>
      </c>
      <c r="R20" s="16" t="str">
        <f t="shared" si="10"/>
        <v>#N/A</v>
      </c>
      <c r="S20" s="16" t="str">
        <f t="shared" si="10"/>
        <v>#N/A</v>
      </c>
      <c r="T20" s="16" t="str">
        <f t="shared" si="10"/>
        <v>#N/A</v>
      </c>
      <c r="U20" s="16">
        <f t="shared" si="10"/>
        <v>0.8482577085</v>
      </c>
      <c r="V20" s="16" t="str">
        <f t="shared" si="10"/>
        <v>#N/A</v>
      </c>
      <c r="W20" s="16">
        <f t="shared" si="10"/>
        <v>0.8996183475</v>
      </c>
      <c r="X20" s="16" t="str">
        <f t="shared" si="10"/>
        <v>#N/A</v>
      </c>
      <c r="Y20" s="16">
        <f t="shared" si="10"/>
        <v>0.7727934611</v>
      </c>
      <c r="Z20" s="16" t="str">
        <f t="shared" si="10"/>
        <v>#N/A</v>
      </c>
      <c r="AA20" s="16">
        <f t="shared" si="10"/>
        <v>0.7725720594</v>
      </c>
      <c r="AB20" s="16" t="str">
        <f t="shared" si="10"/>
        <v>#N/A</v>
      </c>
      <c r="AC20" s="16">
        <f t="shared" si="10"/>
        <v>0.7841279131</v>
      </c>
      <c r="AD20" s="16" t="str">
        <f t="shared" si="10"/>
        <v>#N/A</v>
      </c>
      <c r="AE20" s="16" t="str">
        <f t="shared" si="10"/>
        <v>#N/A</v>
      </c>
      <c r="AF20" s="16" t="str">
        <f t="shared" si="10"/>
        <v>#N/A</v>
      </c>
      <c r="AG20" s="16" t="str">
        <f t="shared" si="10"/>
        <v>#N/A</v>
      </c>
      <c r="AH20" s="16" t="str">
        <f t="shared" si="10"/>
        <v>#N/A</v>
      </c>
      <c r="AI20" s="16" t="str">
        <f t="shared" si="10"/>
        <v>#N/A</v>
      </c>
      <c r="AJ20" s="16">
        <f t="shared" si="10"/>
        <v>0.8419783359</v>
      </c>
      <c r="AK20" s="16">
        <f t="shared" si="10"/>
        <v>0.8230238413</v>
      </c>
      <c r="AL20" s="16">
        <f t="shared" si="10"/>
        <v>0.8474189497</v>
      </c>
      <c r="AM20" s="16">
        <f t="shared" si="10"/>
        <v>0.8402577035</v>
      </c>
      <c r="AN20" s="16">
        <f t="shared" si="10"/>
        <v>0.850501874</v>
      </c>
      <c r="AO20" s="16">
        <f t="shared" si="10"/>
        <v>0.8663548103</v>
      </c>
      <c r="AP20" s="16">
        <f t="shared" si="10"/>
        <v>0.881955428</v>
      </c>
      <c r="AQ20" s="16">
        <f t="shared" si="10"/>
        <v>0.8989393372</v>
      </c>
      <c r="AR20" s="16">
        <f t="shared" si="10"/>
        <v>0.8839704636</v>
      </c>
      <c r="AS20" s="16">
        <f t="shared" si="10"/>
        <v>0.8757405285</v>
      </c>
      <c r="AT20" s="16">
        <f t="shared" si="10"/>
        <v>0.8819002654</v>
      </c>
      <c r="AU20" s="16">
        <f t="shared" si="10"/>
        <v>0.8641130249</v>
      </c>
      <c r="AV20" s="16">
        <f t="shared" si="10"/>
        <v>0.8824739362</v>
      </c>
      <c r="AW20" s="16">
        <f t="shared" si="10"/>
        <v>0.8770717073</v>
      </c>
      <c r="AX20" s="16">
        <f t="shared" si="10"/>
        <v>0.8727397254</v>
      </c>
      <c r="AY20" s="16">
        <f t="shared" si="10"/>
        <v>0.8630557588</v>
      </c>
      <c r="AZ20" s="16">
        <f t="shared" si="10"/>
        <v>0.8707669494</v>
      </c>
      <c r="BA20" s="16">
        <f t="shared" si="10"/>
        <v>0.8494613553</v>
      </c>
      <c r="BB20" s="16">
        <f t="shared" si="10"/>
        <v>0.8806345596</v>
      </c>
      <c r="BC20" s="16">
        <f t="shared" si="10"/>
        <v>0.8873263913</v>
      </c>
      <c r="BD20" s="16">
        <f t="shared" si="10"/>
        <v>0.8975784312</v>
      </c>
      <c r="BE20" s="16">
        <f t="shared" si="10"/>
        <v>0.9002657306</v>
      </c>
      <c r="BF20" s="16">
        <f t="shared" si="10"/>
        <v>0.9064169762</v>
      </c>
      <c r="BG20" s="16">
        <f t="shared" si="10"/>
        <v>0.8949949891</v>
      </c>
    </row>
    <row r="21" ht="15.75" customHeight="1"/>
    <row r="22" ht="15.75" customHeight="1">
      <c r="A22" s="17" t="s">
        <v>841</v>
      </c>
    </row>
    <row r="23" ht="15.75" customHeight="1"/>
    <row r="24" ht="15.75" customHeight="1"/>
    <row r="25" ht="15.75" customHeight="1"/>
    <row r="26" ht="15.75" customHeight="1">
      <c r="U26" s="1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2</v>
      </c>
    </row>
    <row r="2">
      <c r="A2" s="3">
        <f t="array" ref="A2:A25">TRANSPOSE(IF(ISBLANK('Calcs and Graphs'!AJ1:BG1), "", DATE(LEFT('Calcs and Graphs'!AJ1:BG1, 4), (RIGHT('Calcs and Graphs'!AJ1:BG1, 1) * 6) - 5, 1)))</f>
        <v>41640</v>
      </c>
      <c r="B2" s="7">
        <f t="array" ref="B2:B25">TRANSPOSE('Calcs and Graphs'!AJ19:BG19)</f>
        <v>0.1580216641</v>
      </c>
    </row>
    <row r="3">
      <c r="A3" s="3">
        <v>41821.0</v>
      </c>
      <c r="B3" s="7">
        <v>0.17697615873130135</v>
      </c>
    </row>
    <row r="4">
      <c r="A4" s="3">
        <v>42005.0</v>
      </c>
      <c r="B4" s="7">
        <v>0.15258105029830554</v>
      </c>
    </row>
    <row r="5">
      <c r="A5" s="3">
        <v>42186.0</v>
      </c>
      <c r="B5" s="7">
        <v>0.15974229646212243</v>
      </c>
    </row>
    <row r="6">
      <c r="A6" s="3">
        <v>42370.0</v>
      </c>
      <c r="B6" s="7">
        <v>0.14949812599130233</v>
      </c>
    </row>
    <row r="7">
      <c r="A7" s="3">
        <v>42552.0</v>
      </c>
      <c r="B7" s="7">
        <v>0.13364518974677064</v>
      </c>
    </row>
    <row r="8">
      <c r="A8" s="3">
        <v>42736.0</v>
      </c>
      <c r="B8" s="7">
        <v>0.1180445719548063</v>
      </c>
    </row>
    <row r="9">
      <c r="A9" s="3">
        <v>42917.0</v>
      </c>
      <c r="B9" s="7">
        <v>0.10106066283450525</v>
      </c>
    </row>
    <row r="10">
      <c r="A10" s="3">
        <v>43101.0</v>
      </c>
      <c r="B10" s="7">
        <v>0.11602953635839477</v>
      </c>
    </row>
    <row r="11">
      <c r="A11" s="3">
        <v>43282.0</v>
      </c>
      <c r="B11" s="7">
        <v>0.12425947145940323</v>
      </c>
    </row>
    <row r="12">
      <c r="A12" s="3">
        <v>43466.0</v>
      </c>
      <c r="B12" s="7">
        <v>0.11809973463889886</v>
      </c>
    </row>
    <row r="13">
      <c r="A13" s="3">
        <v>43647.0</v>
      </c>
      <c r="B13" s="7">
        <v>0.13588697505312</v>
      </c>
    </row>
    <row r="14">
      <c r="A14" s="3">
        <v>43831.0</v>
      </c>
      <c r="B14" s="7">
        <v>0.11752606375811746</v>
      </c>
    </row>
    <row r="15">
      <c r="A15" s="3">
        <v>44013.0</v>
      </c>
      <c r="B15" s="7">
        <v>0.12292829272269258</v>
      </c>
    </row>
    <row r="16">
      <c r="A16" s="3">
        <v>44197.0</v>
      </c>
      <c r="B16" s="7">
        <v>0.12726027461389508</v>
      </c>
    </row>
    <row r="17">
      <c r="A17" s="3">
        <v>44378.0</v>
      </c>
      <c r="B17" s="7">
        <v>0.13694424115301632</v>
      </c>
    </row>
    <row r="18">
      <c r="A18" s="3">
        <v>44562.0</v>
      </c>
      <c r="B18" s="7">
        <v>0.12923305059156864</v>
      </c>
    </row>
    <row r="19">
      <c r="A19" s="3">
        <v>44743.0</v>
      </c>
      <c r="B19" s="7">
        <v>0.1505386447052326</v>
      </c>
    </row>
    <row r="20">
      <c r="A20" s="3">
        <v>44927.0</v>
      </c>
      <c r="B20" s="7">
        <v>0.11936544043625377</v>
      </c>
    </row>
    <row r="21">
      <c r="A21" s="3">
        <v>45108.0</v>
      </c>
      <c r="B21" s="7">
        <v>0.1126736087022462</v>
      </c>
    </row>
    <row r="22">
      <c r="A22" s="3">
        <v>45292.0</v>
      </c>
      <c r="B22" s="7">
        <v>0.10242156881165117</v>
      </c>
    </row>
    <row r="23">
      <c r="A23" s="3">
        <v>45474.0</v>
      </c>
      <c r="B23" s="7">
        <v>0.09973426936124609</v>
      </c>
    </row>
    <row r="24">
      <c r="A24" s="3">
        <v>45658.0</v>
      </c>
      <c r="B24" s="7">
        <v>0.09358302379430844</v>
      </c>
    </row>
    <row r="25">
      <c r="A25" s="3">
        <v>45839.0</v>
      </c>
      <c r="B25" s="7">
        <v>0.10500501087039277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2</v>
      </c>
    </row>
    <row r="2">
      <c r="A2" s="3">
        <f t="array" ref="A2:A4385">SEQUENCE(DATE(2026,1,1)-DATE(2014,1,1)+1,1,DATE(2014,1,1))</f>
        <v>41640</v>
      </c>
      <c r="B2" s="6">
        <f t="array" ref="B2:B5158">IF(ISBLANK(A2:A5158), "", VLOOKUP(A2:A5158, 'Intermediate Calcs'!A2:B25, 2, TRUE))</f>
        <v>0.1580216641</v>
      </c>
    </row>
    <row r="3">
      <c r="A3" s="3">
        <v>41641.0</v>
      </c>
      <c r="B3" s="6">
        <v>0.15802166412074686</v>
      </c>
    </row>
    <row r="4">
      <c r="A4" s="3">
        <v>41642.0</v>
      </c>
      <c r="B4" s="6">
        <v>0.15802166412074686</v>
      </c>
    </row>
    <row r="5">
      <c r="A5" s="3">
        <v>41643.0</v>
      </c>
      <c r="B5" s="6">
        <v>0.15802166412074686</v>
      </c>
    </row>
    <row r="6">
      <c r="A6" s="3">
        <v>41644.0</v>
      </c>
      <c r="B6" s="6">
        <v>0.15802166412074686</v>
      </c>
    </row>
    <row r="7">
      <c r="A7" s="3">
        <v>41645.0</v>
      </c>
      <c r="B7" s="6">
        <v>0.15802166412074686</v>
      </c>
    </row>
    <row r="8">
      <c r="A8" s="3">
        <v>41646.0</v>
      </c>
      <c r="B8" s="6">
        <v>0.15802166412074686</v>
      </c>
    </row>
    <row r="9">
      <c r="A9" s="3">
        <v>41647.0</v>
      </c>
      <c r="B9" s="6">
        <v>0.15802166412074686</v>
      </c>
    </row>
    <row r="10">
      <c r="A10" s="3">
        <v>41648.0</v>
      </c>
      <c r="B10" s="6">
        <v>0.15802166412074686</v>
      </c>
    </row>
    <row r="11">
      <c r="A11" s="3">
        <v>41649.0</v>
      </c>
      <c r="B11" s="6">
        <v>0.15802166412074686</v>
      </c>
    </row>
    <row r="12">
      <c r="A12" s="3">
        <v>41650.0</v>
      </c>
      <c r="B12" s="6">
        <v>0.15802166412074686</v>
      </c>
    </row>
    <row r="13">
      <c r="A13" s="3">
        <v>41651.0</v>
      </c>
      <c r="B13" s="6">
        <v>0.15802166412074686</v>
      </c>
    </row>
    <row r="14">
      <c r="A14" s="3">
        <v>41652.0</v>
      </c>
      <c r="B14" s="6">
        <v>0.15802166412074686</v>
      </c>
    </row>
    <row r="15">
      <c r="A15" s="3">
        <v>41653.0</v>
      </c>
      <c r="B15" s="6">
        <v>0.15802166412074686</v>
      </c>
    </row>
    <row r="16">
      <c r="A16" s="3">
        <v>41654.0</v>
      </c>
      <c r="B16" s="6">
        <v>0.15802166412074686</v>
      </c>
    </row>
    <row r="17">
      <c r="A17" s="3">
        <v>41655.0</v>
      </c>
      <c r="B17" s="6">
        <v>0.15802166412074686</v>
      </c>
    </row>
    <row r="18">
      <c r="A18" s="3">
        <v>41656.0</v>
      </c>
      <c r="B18" s="6">
        <v>0.15802166412074686</v>
      </c>
    </row>
    <row r="19">
      <c r="A19" s="3">
        <v>41657.0</v>
      </c>
      <c r="B19" s="6">
        <v>0.15802166412074686</v>
      </c>
    </row>
    <row r="20">
      <c r="A20" s="3">
        <v>41658.0</v>
      </c>
      <c r="B20" s="6">
        <v>0.15802166412074686</v>
      </c>
    </row>
    <row r="21">
      <c r="A21" s="3">
        <v>41659.0</v>
      </c>
      <c r="B21" s="6">
        <v>0.15802166412074686</v>
      </c>
    </row>
    <row r="22">
      <c r="A22" s="3">
        <v>41660.0</v>
      </c>
      <c r="B22" s="6">
        <v>0.15802166412074686</v>
      </c>
    </row>
    <row r="23">
      <c r="A23" s="3">
        <v>41661.0</v>
      </c>
      <c r="B23" s="6">
        <v>0.15802166412074686</v>
      </c>
    </row>
    <row r="24">
      <c r="A24" s="3">
        <v>41662.0</v>
      </c>
      <c r="B24" s="6">
        <v>0.15802166412074686</v>
      </c>
    </row>
    <row r="25">
      <c r="A25" s="3">
        <v>41663.0</v>
      </c>
      <c r="B25" s="6">
        <v>0.15802166412074686</v>
      </c>
    </row>
    <row r="26">
      <c r="A26" s="3">
        <v>41664.0</v>
      </c>
      <c r="B26" s="6">
        <v>0.15802166412074686</v>
      </c>
    </row>
    <row r="27">
      <c r="A27" s="3">
        <v>41665.0</v>
      </c>
      <c r="B27" s="6">
        <v>0.15802166412074686</v>
      </c>
    </row>
    <row r="28">
      <c r="A28" s="3">
        <v>41666.0</v>
      </c>
      <c r="B28" s="6">
        <v>0.15802166412074686</v>
      </c>
    </row>
    <row r="29">
      <c r="A29" s="3">
        <v>41667.0</v>
      </c>
      <c r="B29" s="6">
        <v>0.15802166412074686</v>
      </c>
    </row>
    <row r="30">
      <c r="A30" s="3">
        <v>41668.0</v>
      </c>
      <c r="B30" s="6">
        <v>0.15802166412074686</v>
      </c>
    </row>
    <row r="31">
      <c r="A31" s="3">
        <v>41669.0</v>
      </c>
      <c r="B31" s="6">
        <v>0.15802166412074686</v>
      </c>
    </row>
    <row r="32">
      <c r="A32" s="3">
        <v>41670.0</v>
      </c>
      <c r="B32" s="6">
        <v>0.15802166412074686</v>
      </c>
    </row>
    <row r="33">
      <c r="A33" s="3">
        <v>41671.0</v>
      </c>
      <c r="B33" s="6">
        <v>0.15802166412074686</v>
      </c>
    </row>
    <row r="34">
      <c r="A34" s="3">
        <v>41672.0</v>
      </c>
      <c r="B34" s="6">
        <v>0.15802166412074686</v>
      </c>
    </row>
    <row r="35">
      <c r="A35" s="3">
        <v>41673.0</v>
      </c>
      <c r="B35" s="6">
        <v>0.15802166412074686</v>
      </c>
    </row>
    <row r="36">
      <c r="A36" s="3">
        <v>41674.0</v>
      </c>
      <c r="B36" s="6">
        <v>0.15802166412074686</v>
      </c>
    </row>
    <row r="37">
      <c r="A37" s="3">
        <v>41675.0</v>
      </c>
      <c r="B37" s="6">
        <v>0.15802166412074686</v>
      </c>
    </row>
    <row r="38">
      <c r="A38" s="3">
        <v>41676.0</v>
      </c>
      <c r="B38" s="6">
        <v>0.15802166412074686</v>
      </c>
    </row>
    <row r="39">
      <c r="A39" s="3">
        <v>41677.0</v>
      </c>
      <c r="B39" s="6">
        <v>0.15802166412074686</v>
      </c>
    </row>
    <row r="40">
      <c r="A40" s="3">
        <v>41678.0</v>
      </c>
      <c r="B40" s="6">
        <v>0.15802166412074686</v>
      </c>
    </row>
    <row r="41">
      <c r="A41" s="3">
        <v>41679.0</v>
      </c>
      <c r="B41" s="6">
        <v>0.15802166412074686</v>
      </c>
    </row>
    <row r="42">
      <c r="A42" s="3">
        <v>41680.0</v>
      </c>
      <c r="B42" s="6">
        <v>0.15802166412074686</v>
      </c>
    </row>
    <row r="43">
      <c r="A43" s="3">
        <v>41681.0</v>
      </c>
      <c r="B43" s="6">
        <v>0.15802166412074686</v>
      </c>
    </row>
    <row r="44">
      <c r="A44" s="3">
        <v>41682.0</v>
      </c>
      <c r="B44" s="6">
        <v>0.15802166412074686</v>
      </c>
    </row>
    <row r="45">
      <c r="A45" s="3">
        <v>41683.0</v>
      </c>
      <c r="B45" s="6">
        <v>0.15802166412074686</v>
      </c>
    </row>
    <row r="46">
      <c r="A46" s="3">
        <v>41684.0</v>
      </c>
      <c r="B46" s="6">
        <v>0.15802166412074686</v>
      </c>
    </row>
    <row r="47">
      <c r="A47" s="3">
        <v>41685.0</v>
      </c>
      <c r="B47" s="6">
        <v>0.15802166412074686</v>
      </c>
    </row>
    <row r="48">
      <c r="A48" s="3">
        <v>41686.0</v>
      </c>
      <c r="B48" s="6">
        <v>0.15802166412074686</v>
      </c>
    </row>
    <row r="49">
      <c r="A49" s="3">
        <v>41687.0</v>
      </c>
      <c r="B49" s="6">
        <v>0.15802166412074686</v>
      </c>
    </row>
    <row r="50">
      <c r="A50" s="3">
        <v>41688.0</v>
      </c>
      <c r="B50" s="6">
        <v>0.15802166412074686</v>
      </c>
    </row>
    <row r="51">
      <c r="A51" s="3">
        <v>41689.0</v>
      </c>
      <c r="B51" s="6">
        <v>0.15802166412074686</v>
      </c>
    </row>
    <row r="52">
      <c r="A52" s="3">
        <v>41690.0</v>
      </c>
      <c r="B52" s="6">
        <v>0.15802166412074686</v>
      </c>
    </row>
    <row r="53">
      <c r="A53" s="3">
        <v>41691.0</v>
      </c>
      <c r="B53" s="6">
        <v>0.15802166412074686</v>
      </c>
    </row>
    <row r="54">
      <c r="A54" s="3">
        <v>41692.0</v>
      </c>
      <c r="B54" s="6">
        <v>0.15802166412074686</v>
      </c>
    </row>
    <row r="55">
      <c r="A55" s="3">
        <v>41693.0</v>
      </c>
      <c r="B55" s="6">
        <v>0.15802166412074686</v>
      </c>
    </row>
    <row r="56">
      <c r="A56" s="3">
        <v>41694.0</v>
      </c>
      <c r="B56" s="6">
        <v>0.15802166412074686</v>
      </c>
    </row>
    <row r="57">
      <c r="A57" s="3">
        <v>41695.0</v>
      </c>
      <c r="B57" s="6">
        <v>0.15802166412074686</v>
      </c>
    </row>
    <row r="58">
      <c r="A58" s="3">
        <v>41696.0</v>
      </c>
      <c r="B58" s="6">
        <v>0.15802166412074686</v>
      </c>
    </row>
    <row r="59">
      <c r="A59" s="3">
        <v>41697.0</v>
      </c>
      <c r="B59" s="6">
        <v>0.15802166412074686</v>
      </c>
    </row>
    <row r="60">
      <c r="A60" s="3">
        <v>41698.0</v>
      </c>
      <c r="B60" s="6">
        <v>0.15802166412074686</v>
      </c>
    </row>
    <row r="61">
      <c r="A61" s="3">
        <v>41699.0</v>
      </c>
      <c r="B61" s="6">
        <v>0.15802166412074686</v>
      </c>
    </row>
    <row r="62">
      <c r="A62" s="3">
        <v>41700.0</v>
      </c>
      <c r="B62" s="6">
        <v>0.15802166412074686</v>
      </c>
    </row>
    <row r="63">
      <c r="A63" s="3">
        <v>41701.0</v>
      </c>
      <c r="B63" s="6">
        <v>0.15802166412074686</v>
      </c>
    </row>
    <row r="64">
      <c r="A64" s="3">
        <v>41702.0</v>
      </c>
      <c r="B64" s="6">
        <v>0.15802166412074686</v>
      </c>
    </row>
    <row r="65">
      <c r="A65" s="3">
        <v>41703.0</v>
      </c>
      <c r="B65" s="6">
        <v>0.15802166412074686</v>
      </c>
    </row>
    <row r="66">
      <c r="A66" s="3">
        <v>41704.0</v>
      </c>
      <c r="B66" s="6">
        <v>0.15802166412074686</v>
      </c>
    </row>
    <row r="67">
      <c r="A67" s="3">
        <v>41705.0</v>
      </c>
      <c r="B67" s="6">
        <v>0.15802166412074686</v>
      </c>
    </row>
    <row r="68">
      <c r="A68" s="3">
        <v>41706.0</v>
      </c>
      <c r="B68" s="6">
        <v>0.15802166412074686</v>
      </c>
    </row>
    <row r="69">
      <c r="A69" s="3">
        <v>41707.0</v>
      </c>
      <c r="B69" s="6">
        <v>0.15802166412074686</v>
      </c>
    </row>
    <row r="70">
      <c r="A70" s="3">
        <v>41708.0</v>
      </c>
      <c r="B70" s="6">
        <v>0.15802166412074686</v>
      </c>
    </row>
    <row r="71">
      <c r="A71" s="3">
        <v>41709.0</v>
      </c>
      <c r="B71" s="6">
        <v>0.15802166412074686</v>
      </c>
    </row>
    <row r="72">
      <c r="A72" s="3">
        <v>41710.0</v>
      </c>
      <c r="B72" s="6">
        <v>0.15802166412074686</v>
      </c>
    </row>
    <row r="73">
      <c r="A73" s="3">
        <v>41711.0</v>
      </c>
      <c r="B73" s="6">
        <v>0.15802166412074686</v>
      </c>
    </row>
    <row r="74">
      <c r="A74" s="3">
        <v>41712.0</v>
      </c>
      <c r="B74" s="6">
        <v>0.15802166412074686</v>
      </c>
    </row>
    <row r="75">
      <c r="A75" s="3">
        <v>41713.0</v>
      </c>
      <c r="B75" s="6">
        <v>0.15802166412074686</v>
      </c>
    </row>
    <row r="76">
      <c r="A76" s="3">
        <v>41714.0</v>
      </c>
      <c r="B76" s="6">
        <v>0.15802166412074686</v>
      </c>
    </row>
    <row r="77">
      <c r="A77" s="3">
        <v>41715.0</v>
      </c>
      <c r="B77" s="6">
        <v>0.15802166412074686</v>
      </c>
    </row>
    <row r="78">
      <c r="A78" s="3">
        <v>41716.0</v>
      </c>
      <c r="B78" s="6">
        <v>0.15802166412074686</v>
      </c>
    </row>
    <row r="79">
      <c r="A79" s="3">
        <v>41717.0</v>
      </c>
      <c r="B79" s="6">
        <v>0.15802166412074686</v>
      </c>
    </row>
    <row r="80">
      <c r="A80" s="3">
        <v>41718.0</v>
      </c>
      <c r="B80" s="6">
        <v>0.15802166412074686</v>
      </c>
    </row>
    <row r="81">
      <c r="A81" s="3">
        <v>41719.0</v>
      </c>
      <c r="B81" s="6">
        <v>0.15802166412074686</v>
      </c>
    </row>
    <row r="82">
      <c r="A82" s="3">
        <v>41720.0</v>
      </c>
      <c r="B82" s="6">
        <v>0.15802166412074686</v>
      </c>
    </row>
    <row r="83">
      <c r="A83" s="3">
        <v>41721.0</v>
      </c>
      <c r="B83" s="6">
        <v>0.15802166412074686</v>
      </c>
    </row>
    <row r="84">
      <c r="A84" s="3">
        <v>41722.0</v>
      </c>
      <c r="B84" s="6">
        <v>0.15802166412074686</v>
      </c>
    </row>
    <row r="85">
      <c r="A85" s="3">
        <v>41723.0</v>
      </c>
      <c r="B85" s="6">
        <v>0.15802166412074686</v>
      </c>
    </row>
    <row r="86">
      <c r="A86" s="3">
        <v>41724.0</v>
      </c>
      <c r="B86" s="6">
        <v>0.15802166412074686</v>
      </c>
    </row>
    <row r="87">
      <c r="A87" s="3">
        <v>41725.0</v>
      </c>
      <c r="B87" s="6">
        <v>0.15802166412074686</v>
      </c>
    </row>
    <row r="88">
      <c r="A88" s="3">
        <v>41726.0</v>
      </c>
      <c r="B88" s="6">
        <v>0.15802166412074686</v>
      </c>
    </row>
    <row r="89">
      <c r="A89" s="3">
        <v>41727.0</v>
      </c>
      <c r="B89" s="6">
        <v>0.15802166412074686</v>
      </c>
    </row>
    <row r="90">
      <c r="A90" s="3">
        <v>41728.0</v>
      </c>
      <c r="B90" s="6">
        <v>0.15802166412074686</v>
      </c>
    </row>
    <row r="91">
      <c r="A91" s="3">
        <v>41729.0</v>
      </c>
      <c r="B91" s="6">
        <v>0.15802166412074686</v>
      </c>
    </row>
    <row r="92">
      <c r="A92" s="3">
        <v>41730.0</v>
      </c>
      <c r="B92" s="6">
        <v>0.15802166412074686</v>
      </c>
    </row>
    <row r="93">
      <c r="A93" s="3">
        <v>41731.0</v>
      </c>
      <c r="B93" s="6">
        <v>0.15802166412074686</v>
      </c>
    </row>
    <row r="94">
      <c r="A94" s="3">
        <v>41732.0</v>
      </c>
      <c r="B94" s="6">
        <v>0.15802166412074686</v>
      </c>
    </row>
    <row r="95">
      <c r="A95" s="3">
        <v>41733.0</v>
      </c>
      <c r="B95" s="6">
        <v>0.15802166412074686</v>
      </c>
    </row>
    <row r="96">
      <c r="A96" s="3">
        <v>41734.0</v>
      </c>
      <c r="B96" s="6">
        <v>0.15802166412074686</v>
      </c>
    </row>
    <row r="97">
      <c r="A97" s="3">
        <v>41735.0</v>
      </c>
      <c r="B97" s="6">
        <v>0.15802166412074686</v>
      </c>
    </row>
    <row r="98">
      <c r="A98" s="3">
        <v>41736.0</v>
      </c>
      <c r="B98" s="6">
        <v>0.15802166412074686</v>
      </c>
    </row>
    <row r="99">
      <c r="A99" s="3">
        <v>41737.0</v>
      </c>
      <c r="B99" s="6">
        <v>0.15802166412074686</v>
      </c>
    </row>
    <row r="100">
      <c r="A100" s="3">
        <v>41738.0</v>
      </c>
      <c r="B100" s="6">
        <v>0.15802166412074686</v>
      </c>
    </row>
    <row r="101">
      <c r="A101" s="3">
        <v>41739.0</v>
      </c>
      <c r="B101" s="6">
        <v>0.15802166412074686</v>
      </c>
    </row>
    <row r="102">
      <c r="A102" s="3">
        <v>41740.0</v>
      </c>
      <c r="B102" s="6">
        <v>0.15802166412074686</v>
      </c>
    </row>
    <row r="103">
      <c r="A103" s="3">
        <v>41741.0</v>
      </c>
      <c r="B103" s="6">
        <v>0.15802166412074686</v>
      </c>
    </row>
    <row r="104">
      <c r="A104" s="3">
        <v>41742.0</v>
      </c>
      <c r="B104" s="6">
        <v>0.15802166412074686</v>
      </c>
    </row>
    <row r="105">
      <c r="A105" s="3">
        <v>41743.0</v>
      </c>
      <c r="B105" s="6">
        <v>0.15802166412074686</v>
      </c>
    </row>
    <row r="106">
      <c r="A106" s="3">
        <v>41744.0</v>
      </c>
      <c r="B106" s="6">
        <v>0.15802166412074686</v>
      </c>
    </row>
    <row r="107">
      <c r="A107" s="3">
        <v>41745.0</v>
      </c>
      <c r="B107" s="6">
        <v>0.15802166412074686</v>
      </c>
    </row>
    <row r="108">
      <c r="A108" s="3">
        <v>41746.0</v>
      </c>
      <c r="B108" s="6">
        <v>0.15802166412074686</v>
      </c>
    </row>
    <row r="109">
      <c r="A109" s="3">
        <v>41747.0</v>
      </c>
      <c r="B109" s="6">
        <v>0.15802166412074686</v>
      </c>
    </row>
    <row r="110">
      <c r="A110" s="3">
        <v>41748.0</v>
      </c>
      <c r="B110" s="6">
        <v>0.15802166412074686</v>
      </c>
    </row>
    <row r="111">
      <c r="A111" s="3">
        <v>41749.0</v>
      </c>
      <c r="B111" s="6">
        <v>0.15802166412074686</v>
      </c>
    </row>
    <row r="112">
      <c r="A112" s="3">
        <v>41750.0</v>
      </c>
      <c r="B112" s="6">
        <v>0.15802166412074686</v>
      </c>
    </row>
    <row r="113">
      <c r="A113" s="3">
        <v>41751.0</v>
      </c>
      <c r="B113" s="6">
        <v>0.15802166412074686</v>
      </c>
    </row>
    <row r="114">
      <c r="A114" s="3">
        <v>41752.0</v>
      </c>
      <c r="B114" s="6">
        <v>0.15802166412074686</v>
      </c>
    </row>
    <row r="115">
      <c r="A115" s="3">
        <v>41753.0</v>
      </c>
      <c r="B115" s="6">
        <v>0.15802166412074686</v>
      </c>
    </row>
    <row r="116">
      <c r="A116" s="3">
        <v>41754.0</v>
      </c>
      <c r="B116" s="6">
        <v>0.15802166412074686</v>
      </c>
    </row>
    <row r="117">
      <c r="A117" s="3">
        <v>41755.0</v>
      </c>
      <c r="B117" s="6">
        <v>0.15802166412074686</v>
      </c>
    </row>
    <row r="118">
      <c r="A118" s="3">
        <v>41756.0</v>
      </c>
      <c r="B118" s="6">
        <v>0.15802166412074686</v>
      </c>
    </row>
    <row r="119">
      <c r="A119" s="3">
        <v>41757.0</v>
      </c>
      <c r="B119" s="6">
        <v>0.15802166412074686</v>
      </c>
    </row>
    <row r="120">
      <c r="A120" s="3">
        <v>41758.0</v>
      </c>
      <c r="B120" s="6">
        <v>0.15802166412074686</v>
      </c>
    </row>
    <row r="121">
      <c r="A121" s="3">
        <v>41759.0</v>
      </c>
      <c r="B121" s="6">
        <v>0.15802166412074686</v>
      </c>
    </row>
    <row r="122">
      <c r="A122" s="3">
        <v>41760.0</v>
      </c>
      <c r="B122" s="6">
        <v>0.15802166412074686</v>
      </c>
    </row>
    <row r="123">
      <c r="A123" s="3">
        <v>41761.0</v>
      </c>
      <c r="B123" s="6">
        <v>0.15802166412074686</v>
      </c>
    </row>
    <row r="124">
      <c r="A124" s="3">
        <v>41762.0</v>
      </c>
      <c r="B124" s="6">
        <v>0.15802166412074686</v>
      </c>
    </row>
    <row r="125">
      <c r="A125" s="3">
        <v>41763.0</v>
      </c>
      <c r="B125" s="6">
        <v>0.15802166412074686</v>
      </c>
    </row>
    <row r="126">
      <c r="A126" s="3">
        <v>41764.0</v>
      </c>
      <c r="B126" s="6">
        <v>0.15802166412074686</v>
      </c>
    </row>
    <row r="127">
      <c r="A127" s="3">
        <v>41765.0</v>
      </c>
      <c r="B127" s="6">
        <v>0.15802166412074686</v>
      </c>
    </row>
    <row r="128">
      <c r="A128" s="3">
        <v>41766.0</v>
      </c>
      <c r="B128" s="6">
        <v>0.15802166412074686</v>
      </c>
    </row>
    <row r="129">
      <c r="A129" s="3">
        <v>41767.0</v>
      </c>
      <c r="B129" s="6">
        <v>0.15802166412074686</v>
      </c>
    </row>
    <row r="130">
      <c r="A130" s="3">
        <v>41768.0</v>
      </c>
      <c r="B130" s="6">
        <v>0.15802166412074686</v>
      </c>
    </row>
    <row r="131">
      <c r="A131" s="3">
        <v>41769.0</v>
      </c>
      <c r="B131" s="6">
        <v>0.15802166412074686</v>
      </c>
    </row>
    <row r="132">
      <c r="A132" s="3">
        <v>41770.0</v>
      </c>
      <c r="B132" s="6">
        <v>0.15802166412074686</v>
      </c>
    </row>
    <row r="133">
      <c r="A133" s="3">
        <v>41771.0</v>
      </c>
      <c r="B133" s="6">
        <v>0.15802166412074686</v>
      </c>
    </row>
    <row r="134">
      <c r="A134" s="3">
        <v>41772.0</v>
      </c>
      <c r="B134" s="6">
        <v>0.15802166412074686</v>
      </c>
    </row>
    <row r="135">
      <c r="A135" s="3">
        <v>41773.0</v>
      </c>
      <c r="B135" s="6">
        <v>0.15802166412074686</v>
      </c>
    </row>
    <row r="136">
      <c r="A136" s="3">
        <v>41774.0</v>
      </c>
      <c r="B136" s="6">
        <v>0.15802166412074686</v>
      </c>
    </row>
    <row r="137">
      <c r="A137" s="3">
        <v>41775.0</v>
      </c>
      <c r="B137" s="6">
        <v>0.15802166412074686</v>
      </c>
    </row>
    <row r="138">
      <c r="A138" s="3">
        <v>41776.0</v>
      </c>
      <c r="B138" s="6">
        <v>0.15802166412074686</v>
      </c>
    </row>
    <row r="139">
      <c r="A139" s="3">
        <v>41777.0</v>
      </c>
      <c r="B139" s="6">
        <v>0.15802166412074686</v>
      </c>
    </row>
    <row r="140">
      <c r="A140" s="3">
        <v>41778.0</v>
      </c>
      <c r="B140" s="6">
        <v>0.15802166412074686</v>
      </c>
    </row>
    <row r="141">
      <c r="A141" s="3">
        <v>41779.0</v>
      </c>
      <c r="B141" s="6">
        <v>0.15802166412074686</v>
      </c>
    </row>
    <row r="142">
      <c r="A142" s="3">
        <v>41780.0</v>
      </c>
      <c r="B142" s="6">
        <v>0.15802166412074686</v>
      </c>
    </row>
    <row r="143">
      <c r="A143" s="3">
        <v>41781.0</v>
      </c>
      <c r="B143" s="6">
        <v>0.15802166412074686</v>
      </c>
    </row>
    <row r="144">
      <c r="A144" s="3">
        <v>41782.0</v>
      </c>
      <c r="B144" s="6">
        <v>0.15802166412074686</v>
      </c>
    </row>
    <row r="145">
      <c r="A145" s="3">
        <v>41783.0</v>
      </c>
      <c r="B145" s="6">
        <v>0.15802166412074686</v>
      </c>
    </row>
    <row r="146">
      <c r="A146" s="3">
        <v>41784.0</v>
      </c>
      <c r="B146" s="6">
        <v>0.15802166412074686</v>
      </c>
    </row>
    <row r="147">
      <c r="A147" s="3">
        <v>41785.0</v>
      </c>
      <c r="B147" s="6">
        <v>0.15802166412074686</v>
      </c>
    </row>
    <row r="148">
      <c r="A148" s="3">
        <v>41786.0</v>
      </c>
      <c r="B148" s="6">
        <v>0.15802166412074686</v>
      </c>
    </row>
    <row r="149">
      <c r="A149" s="3">
        <v>41787.0</v>
      </c>
      <c r="B149" s="6">
        <v>0.15802166412074686</v>
      </c>
    </row>
    <row r="150">
      <c r="A150" s="3">
        <v>41788.0</v>
      </c>
      <c r="B150" s="6">
        <v>0.15802166412074686</v>
      </c>
    </row>
    <row r="151">
      <c r="A151" s="3">
        <v>41789.0</v>
      </c>
      <c r="B151" s="6">
        <v>0.15802166412074686</v>
      </c>
    </row>
    <row r="152">
      <c r="A152" s="3">
        <v>41790.0</v>
      </c>
      <c r="B152" s="6">
        <v>0.15802166412074686</v>
      </c>
    </row>
    <row r="153">
      <c r="A153" s="3">
        <v>41791.0</v>
      </c>
      <c r="B153" s="6">
        <v>0.15802166412074686</v>
      </c>
    </row>
    <row r="154">
      <c r="A154" s="3">
        <v>41792.0</v>
      </c>
      <c r="B154" s="6">
        <v>0.15802166412074686</v>
      </c>
    </row>
    <row r="155">
      <c r="A155" s="3">
        <v>41793.0</v>
      </c>
      <c r="B155" s="6">
        <v>0.15802166412074686</v>
      </c>
    </row>
    <row r="156">
      <c r="A156" s="3">
        <v>41794.0</v>
      </c>
      <c r="B156" s="6">
        <v>0.15802166412074686</v>
      </c>
    </row>
    <row r="157">
      <c r="A157" s="3">
        <v>41795.0</v>
      </c>
      <c r="B157" s="6">
        <v>0.15802166412074686</v>
      </c>
    </row>
    <row r="158">
      <c r="A158" s="3">
        <v>41796.0</v>
      </c>
      <c r="B158" s="6">
        <v>0.15802166412074686</v>
      </c>
    </row>
    <row r="159">
      <c r="A159" s="3">
        <v>41797.0</v>
      </c>
      <c r="B159" s="6">
        <v>0.15802166412074686</v>
      </c>
    </row>
    <row r="160">
      <c r="A160" s="3">
        <v>41798.0</v>
      </c>
      <c r="B160" s="6">
        <v>0.15802166412074686</v>
      </c>
    </row>
    <row r="161">
      <c r="A161" s="3">
        <v>41799.0</v>
      </c>
      <c r="B161" s="6">
        <v>0.15802166412074686</v>
      </c>
    </row>
    <row r="162">
      <c r="A162" s="3">
        <v>41800.0</v>
      </c>
      <c r="B162" s="6">
        <v>0.15802166412074686</v>
      </c>
    </row>
    <row r="163">
      <c r="A163" s="3">
        <v>41801.0</v>
      </c>
      <c r="B163" s="6">
        <v>0.15802166412074686</v>
      </c>
    </row>
    <row r="164">
      <c r="A164" s="3">
        <v>41802.0</v>
      </c>
      <c r="B164" s="6">
        <v>0.15802166412074686</v>
      </c>
    </row>
    <row r="165">
      <c r="A165" s="3">
        <v>41803.0</v>
      </c>
      <c r="B165" s="6">
        <v>0.15802166412074686</v>
      </c>
    </row>
    <row r="166">
      <c r="A166" s="3">
        <v>41804.0</v>
      </c>
      <c r="B166" s="6">
        <v>0.15802166412074686</v>
      </c>
    </row>
    <row r="167">
      <c r="A167" s="3">
        <v>41805.0</v>
      </c>
      <c r="B167" s="6">
        <v>0.15802166412074686</v>
      </c>
    </row>
    <row r="168">
      <c r="A168" s="3">
        <v>41806.0</v>
      </c>
      <c r="B168" s="6">
        <v>0.15802166412074686</v>
      </c>
    </row>
    <row r="169">
      <c r="A169" s="3">
        <v>41807.0</v>
      </c>
      <c r="B169" s="6">
        <v>0.15802166412074686</v>
      </c>
    </row>
    <row r="170">
      <c r="A170" s="3">
        <v>41808.0</v>
      </c>
      <c r="B170" s="6">
        <v>0.15802166412074686</v>
      </c>
    </row>
    <row r="171">
      <c r="A171" s="3">
        <v>41809.0</v>
      </c>
      <c r="B171" s="6">
        <v>0.15802166412074686</v>
      </c>
    </row>
    <row r="172">
      <c r="A172" s="3">
        <v>41810.0</v>
      </c>
      <c r="B172" s="6">
        <v>0.15802166412074686</v>
      </c>
    </row>
    <row r="173">
      <c r="A173" s="3">
        <v>41811.0</v>
      </c>
      <c r="B173" s="6">
        <v>0.15802166412074686</v>
      </c>
    </row>
    <row r="174">
      <c r="A174" s="3">
        <v>41812.0</v>
      </c>
      <c r="B174" s="6">
        <v>0.15802166412074686</v>
      </c>
    </row>
    <row r="175">
      <c r="A175" s="3">
        <v>41813.0</v>
      </c>
      <c r="B175" s="6">
        <v>0.15802166412074686</v>
      </c>
    </row>
    <row r="176">
      <c r="A176" s="3">
        <v>41814.0</v>
      </c>
      <c r="B176" s="6">
        <v>0.15802166412074686</v>
      </c>
    </row>
    <row r="177">
      <c r="A177" s="3">
        <v>41815.0</v>
      </c>
      <c r="B177" s="6">
        <v>0.15802166412074686</v>
      </c>
    </row>
    <row r="178">
      <c r="A178" s="3">
        <v>41816.0</v>
      </c>
      <c r="B178" s="6">
        <v>0.15802166412074686</v>
      </c>
    </row>
    <row r="179">
      <c r="A179" s="3">
        <v>41817.0</v>
      </c>
      <c r="B179" s="6">
        <v>0.15802166412074686</v>
      </c>
    </row>
    <row r="180">
      <c r="A180" s="3">
        <v>41818.0</v>
      </c>
      <c r="B180" s="6">
        <v>0.15802166412074686</v>
      </c>
    </row>
    <row r="181">
      <c r="A181" s="3">
        <v>41819.0</v>
      </c>
      <c r="B181" s="6">
        <v>0.15802166412074686</v>
      </c>
    </row>
    <row r="182">
      <c r="A182" s="3">
        <v>41820.0</v>
      </c>
      <c r="B182" s="6">
        <v>0.15802166412074686</v>
      </c>
    </row>
    <row r="183">
      <c r="A183" s="3">
        <v>41821.0</v>
      </c>
      <c r="B183" s="6">
        <v>0.17697615873130135</v>
      </c>
    </row>
    <row r="184">
      <c r="A184" s="3">
        <v>41822.0</v>
      </c>
      <c r="B184" s="6">
        <v>0.17697615873130135</v>
      </c>
    </row>
    <row r="185">
      <c r="A185" s="3">
        <v>41823.0</v>
      </c>
      <c r="B185" s="6">
        <v>0.17697615873130135</v>
      </c>
    </row>
    <row r="186">
      <c r="A186" s="3">
        <v>41824.0</v>
      </c>
      <c r="B186" s="6">
        <v>0.17697615873130135</v>
      </c>
    </row>
    <row r="187">
      <c r="A187" s="3">
        <v>41825.0</v>
      </c>
      <c r="B187" s="6">
        <v>0.17697615873130135</v>
      </c>
    </row>
    <row r="188">
      <c r="A188" s="3">
        <v>41826.0</v>
      </c>
      <c r="B188" s="6">
        <v>0.17697615873130135</v>
      </c>
    </row>
    <row r="189">
      <c r="A189" s="3">
        <v>41827.0</v>
      </c>
      <c r="B189" s="6">
        <v>0.17697615873130135</v>
      </c>
    </row>
    <row r="190">
      <c r="A190" s="3">
        <v>41828.0</v>
      </c>
      <c r="B190" s="6">
        <v>0.17697615873130135</v>
      </c>
    </row>
    <row r="191">
      <c r="A191" s="3">
        <v>41829.0</v>
      </c>
      <c r="B191" s="6">
        <v>0.17697615873130135</v>
      </c>
    </row>
    <row r="192">
      <c r="A192" s="3">
        <v>41830.0</v>
      </c>
      <c r="B192" s="6">
        <v>0.17697615873130135</v>
      </c>
    </row>
    <row r="193">
      <c r="A193" s="3">
        <v>41831.0</v>
      </c>
      <c r="B193" s="6">
        <v>0.17697615873130135</v>
      </c>
    </row>
    <row r="194">
      <c r="A194" s="3">
        <v>41832.0</v>
      </c>
      <c r="B194" s="6">
        <v>0.17697615873130135</v>
      </c>
    </row>
    <row r="195">
      <c r="A195" s="3">
        <v>41833.0</v>
      </c>
      <c r="B195" s="6">
        <v>0.17697615873130135</v>
      </c>
    </row>
    <row r="196">
      <c r="A196" s="3">
        <v>41834.0</v>
      </c>
      <c r="B196" s="6">
        <v>0.17697615873130135</v>
      </c>
    </row>
    <row r="197">
      <c r="A197" s="3">
        <v>41835.0</v>
      </c>
      <c r="B197" s="6">
        <v>0.17697615873130135</v>
      </c>
    </row>
    <row r="198">
      <c r="A198" s="3">
        <v>41836.0</v>
      </c>
      <c r="B198" s="6">
        <v>0.17697615873130135</v>
      </c>
    </row>
    <row r="199">
      <c r="A199" s="3">
        <v>41837.0</v>
      </c>
      <c r="B199" s="6">
        <v>0.17697615873130135</v>
      </c>
    </row>
    <row r="200">
      <c r="A200" s="3">
        <v>41838.0</v>
      </c>
      <c r="B200" s="6">
        <v>0.17697615873130135</v>
      </c>
    </row>
    <row r="201">
      <c r="A201" s="3">
        <v>41839.0</v>
      </c>
      <c r="B201" s="6">
        <v>0.17697615873130135</v>
      </c>
    </row>
    <row r="202">
      <c r="A202" s="3">
        <v>41840.0</v>
      </c>
      <c r="B202" s="6">
        <v>0.17697615873130135</v>
      </c>
    </row>
    <row r="203">
      <c r="A203" s="3">
        <v>41841.0</v>
      </c>
      <c r="B203" s="6">
        <v>0.17697615873130135</v>
      </c>
    </row>
    <row r="204">
      <c r="A204" s="3">
        <v>41842.0</v>
      </c>
      <c r="B204" s="6">
        <v>0.17697615873130135</v>
      </c>
    </row>
    <row r="205">
      <c r="A205" s="3">
        <v>41843.0</v>
      </c>
      <c r="B205" s="6">
        <v>0.17697615873130135</v>
      </c>
    </row>
    <row r="206">
      <c r="A206" s="3">
        <v>41844.0</v>
      </c>
      <c r="B206" s="6">
        <v>0.17697615873130135</v>
      </c>
    </row>
    <row r="207">
      <c r="A207" s="3">
        <v>41845.0</v>
      </c>
      <c r="B207" s="6">
        <v>0.17697615873130135</v>
      </c>
    </row>
    <row r="208">
      <c r="A208" s="3">
        <v>41846.0</v>
      </c>
      <c r="B208" s="6">
        <v>0.17697615873130135</v>
      </c>
    </row>
    <row r="209">
      <c r="A209" s="3">
        <v>41847.0</v>
      </c>
      <c r="B209" s="6">
        <v>0.17697615873130135</v>
      </c>
    </row>
    <row r="210">
      <c r="A210" s="3">
        <v>41848.0</v>
      </c>
      <c r="B210" s="6">
        <v>0.17697615873130135</v>
      </c>
    </row>
    <row r="211">
      <c r="A211" s="3">
        <v>41849.0</v>
      </c>
      <c r="B211" s="6">
        <v>0.17697615873130135</v>
      </c>
    </row>
    <row r="212">
      <c r="A212" s="3">
        <v>41850.0</v>
      </c>
      <c r="B212" s="6">
        <v>0.17697615873130135</v>
      </c>
    </row>
    <row r="213">
      <c r="A213" s="3">
        <v>41851.0</v>
      </c>
      <c r="B213" s="6">
        <v>0.17697615873130135</v>
      </c>
    </row>
    <row r="214">
      <c r="A214" s="3">
        <v>41852.0</v>
      </c>
      <c r="B214" s="6">
        <v>0.17697615873130135</v>
      </c>
    </row>
    <row r="215">
      <c r="A215" s="3">
        <v>41853.0</v>
      </c>
      <c r="B215" s="6">
        <v>0.17697615873130135</v>
      </c>
    </row>
    <row r="216">
      <c r="A216" s="3">
        <v>41854.0</v>
      </c>
      <c r="B216" s="6">
        <v>0.17697615873130135</v>
      </c>
    </row>
    <row r="217">
      <c r="A217" s="3">
        <v>41855.0</v>
      </c>
      <c r="B217" s="6">
        <v>0.17697615873130135</v>
      </c>
    </row>
    <row r="218">
      <c r="A218" s="3">
        <v>41856.0</v>
      </c>
      <c r="B218" s="6">
        <v>0.17697615873130135</v>
      </c>
    </row>
    <row r="219">
      <c r="A219" s="3">
        <v>41857.0</v>
      </c>
      <c r="B219" s="6">
        <v>0.17697615873130135</v>
      </c>
    </row>
    <row r="220">
      <c r="A220" s="3">
        <v>41858.0</v>
      </c>
      <c r="B220" s="6">
        <v>0.17697615873130135</v>
      </c>
    </row>
    <row r="221">
      <c r="A221" s="3">
        <v>41859.0</v>
      </c>
      <c r="B221" s="6">
        <v>0.17697615873130135</v>
      </c>
    </row>
    <row r="222">
      <c r="A222" s="3">
        <v>41860.0</v>
      </c>
      <c r="B222" s="6">
        <v>0.17697615873130135</v>
      </c>
    </row>
    <row r="223">
      <c r="A223" s="3">
        <v>41861.0</v>
      </c>
      <c r="B223" s="6">
        <v>0.17697615873130135</v>
      </c>
    </row>
    <row r="224">
      <c r="A224" s="3">
        <v>41862.0</v>
      </c>
      <c r="B224" s="6">
        <v>0.17697615873130135</v>
      </c>
    </row>
    <row r="225">
      <c r="A225" s="3">
        <v>41863.0</v>
      </c>
      <c r="B225" s="6">
        <v>0.17697615873130135</v>
      </c>
    </row>
    <row r="226">
      <c r="A226" s="3">
        <v>41864.0</v>
      </c>
      <c r="B226" s="6">
        <v>0.17697615873130135</v>
      </c>
    </row>
    <row r="227">
      <c r="A227" s="3">
        <v>41865.0</v>
      </c>
      <c r="B227" s="6">
        <v>0.17697615873130135</v>
      </c>
    </row>
    <row r="228">
      <c r="A228" s="3">
        <v>41866.0</v>
      </c>
      <c r="B228" s="6">
        <v>0.17697615873130135</v>
      </c>
    </row>
    <row r="229">
      <c r="A229" s="3">
        <v>41867.0</v>
      </c>
      <c r="B229" s="6">
        <v>0.17697615873130135</v>
      </c>
    </row>
    <row r="230">
      <c r="A230" s="3">
        <v>41868.0</v>
      </c>
      <c r="B230" s="6">
        <v>0.17697615873130135</v>
      </c>
    </row>
    <row r="231">
      <c r="A231" s="3">
        <v>41869.0</v>
      </c>
      <c r="B231" s="6">
        <v>0.17697615873130135</v>
      </c>
    </row>
    <row r="232">
      <c r="A232" s="3">
        <v>41870.0</v>
      </c>
      <c r="B232" s="6">
        <v>0.17697615873130135</v>
      </c>
    </row>
    <row r="233">
      <c r="A233" s="3">
        <v>41871.0</v>
      </c>
      <c r="B233" s="6">
        <v>0.17697615873130135</v>
      </c>
    </row>
    <row r="234">
      <c r="A234" s="3">
        <v>41872.0</v>
      </c>
      <c r="B234" s="6">
        <v>0.17697615873130135</v>
      </c>
    </row>
    <row r="235">
      <c r="A235" s="3">
        <v>41873.0</v>
      </c>
      <c r="B235" s="6">
        <v>0.17697615873130135</v>
      </c>
    </row>
    <row r="236">
      <c r="A236" s="3">
        <v>41874.0</v>
      </c>
      <c r="B236" s="6">
        <v>0.17697615873130135</v>
      </c>
    </row>
    <row r="237">
      <c r="A237" s="3">
        <v>41875.0</v>
      </c>
      <c r="B237" s="6">
        <v>0.17697615873130135</v>
      </c>
    </row>
    <row r="238">
      <c r="A238" s="3">
        <v>41876.0</v>
      </c>
      <c r="B238" s="6">
        <v>0.17697615873130135</v>
      </c>
    </row>
    <row r="239">
      <c r="A239" s="3">
        <v>41877.0</v>
      </c>
      <c r="B239" s="6">
        <v>0.17697615873130135</v>
      </c>
    </row>
    <row r="240">
      <c r="A240" s="3">
        <v>41878.0</v>
      </c>
      <c r="B240" s="6">
        <v>0.17697615873130135</v>
      </c>
    </row>
    <row r="241">
      <c r="A241" s="3">
        <v>41879.0</v>
      </c>
      <c r="B241" s="6">
        <v>0.17697615873130135</v>
      </c>
    </row>
    <row r="242">
      <c r="A242" s="3">
        <v>41880.0</v>
      </c>
      <c r="B242" s="6">
        <v>0.17697615873130135</v>
      </c>
    </row>
    <row r="243">
      <c r="A243" s="3">
        <v>41881.0</v>
      </c>
      <c r="B243" s="6">
        <v>0.17697615873130135</v>
      </c>
    </row>
    <row r="244">
      <c r="A244" s="3">
        <v>41882.0</v>
      </c>
      <c r="B244" s="6">
        <v>0.17697615873130135</v>
      </c>
    </row>
    <row r="245">
      <c r="A245" s="3">
        <v>41883.0</v>
      </c>
      <c r="B245" s="6">
        <v>0.17697615873130135</v>
      </c>
    </row>
    <row r="246">
      <c r="A246" s="3">
        <v>41884.0</v>
      </c>
      <c r="B246" s="6">
        <v>0.17697615873130135</v>
      </c>
    </row>
    <row r="247">
      <c r="A247" s="3">
        <v>41885.0</v>
      </c>
      <c r="B247" s="6">
        <v>0.17697615873130135</v>
      </c>
    </row>
    <row r="248">
      <c r="A248" s="3">
        <v>41886.0</v>
      </c>
      <c r="B248" s="6">
        <v>0.17697615873130135</v>
      </c>
    </row>
    <row r="249">
      <c r="A249" s="3">
        <v>41887.0</v>
      </c>
      <c r="B249" s="6">
        <v>0.17697615873130135</v>
      </c>
    </row>
    <row r="250">
      <c r="A250" s="3">
        <v>41888.0</v>
      </c>
      <c r="B250" s="6">
        <v>0.17697615873130135</v>
      </c>
    </row>
    <row r="251">
      <c r="A251" s="3">
        <v>41889.0</v>
      </c>
      <c r="B251" s="6">
        <v>0.17697615873130135</v>
      </c>
    </row>
    <row r="252">
      <c r="A252" s="3">
        <v>41890.0</v>
      </c>
      <c r="B252" s="6">
        <v>0.17697615873130135</v>
      </c>
    </row>
    <row r="253">
      <c r="A253" s="3">
        <v>41891.0</v>
      </c>
      <c r="B253" s="6">
        <v>0.17697615873130135</v>
      </c>
    </row>
    <row r="254">
      <c r="A254" s="3">
        <v>41892.0</v>
      </c>
      <c r="B254" s="6">
        <v>0.17697615873130135</v>
      </c>
    </row>
    <row r="255">
      <c r="A255" s="3">
        <v>41893.0</v>
      </c>
      <c r="B255" s="6">
        <v>0.17697615873130135</v>
      </c>
    </row>
    <row r="256">
      <c r="A256" s="3">
        <v>41894.0</v>
      </c>
      <c r="B256" s="6">
        <v>0.17697615873130135</v>
      </c>
    </row>
    <row r="257">
      <c r="A257" s="3">
        <v>41895.0</v>
      </c>
      <c r="B257" s="6">
        <v>0.17697615873130135</v>
      </c>
    </row>
    <row r="258">
      <c r="A258" s="3">
        <v>41896.0</v>
      </c>
      <c r="B258" s="6">
        <v>0.17697615873130135</v>
      </c>
    </row>
    <row r="259">
      <c r="A259" s="3">
        <v>41897.0</v>
      </c>
      <c r="B259" s="6">
        <v>0.17697615873130135</v>
      </c>
    </row>
    <row r="260">
      <c r="A260" s="3">
        <v>41898.0</v>
      </c>
      <c r="B260" s="6">
        <v>0.17697615873130135</v>
      </c>
    </row>
    <row r="261">
      <c r="A261" s="3">
        <v>41899.0</v>
      </c>
      <c r="B261" s="6">
        <v>0.17697615873130135</v>
      </c>
    </row>
    <row r="262">
      <c r="A262" s="3">
        <v>41900.0</v>
      </c>
      <c r="B262" s="6">
        <v>0.17697615873130135</v>
      </c>
    </row>
    <row r="263">
      <c r="A263" s="3">
        <v>41901.0</v>
      </c>
      <c r="B263" s="6">
        <v>0.17697615873130135</v>
      </c>
    </row>
    <row r="264">
      <c r="A264" s="3">
        <v>41902.0</v>
      </c>
      <c r="B264" s="6">
        <v>0.17697615873130135</v>
      </c>
    </row>
    <row r="265">
      <c r="A265" s="3">
        <v>41903.0</v>
      </c>
      <c r="B265" s="6">
        <v>0.17697615873130135</v>
      </c>
    </row>
    <row r="266">
      <c r="A266" s="3">
        <v>41904.0</v>
      </c>
      <c r="B266" s="6">
        <v>0.17697615873130135</v>
      </c>
    </row>
    <row r="267">
      <c r="A267" s="3">
        <v>41905.0</v>
      </c>
      <c r="B267" s="6">
        <v>0.17697615873130135</v>
      </c>
    </row>
    <row r="268">
      <c r="A268" s="3">
        <v>41906.0</v>
      </c>
      <c r="B268" s="6">
        <v>0.17697615873130135</v>
      </c>
    </row>
    <row r="269">
      <c r="A269" s="3">
        <v>41907.0</v>
      </c>
      <c r="B269" s="6">
        <v>0.17697615873130135</v>
      </c>
    </row>
    <row r="270">
      <c r="A270" s="3">
        <v>41908.0</v>
      </c>
      <c r="B270" s="6">
        <v>0.17697615873130135</v>
      </c>
    </row>
    <row r="271">
      <c r="A271" s="3">
        <v>41909.0</v>
      </c>
      <c r="B271" s="6">
        <v>0.17697615873130135</v>
      </c>
    </row>
    <row r="272">
      <c r="A272" s="3">
        <v>41910.0</v>
      </c>
      <c r="B272" s="6">
        <v>0.17697615873130135</v>
      </c>
    </row>
    <row r="273">
      <c r="A273" s="3">
        <v>41911.0</v>
      </c>
      <c r="B273" s="6">
        <v>0.17697615873130135</v>
      </c>
    </row>
    <row r="274">
      <c r="A274" s="3">
        <v>41912.0</v>
      </c>
      <c r="B274" s="6">
        <v>0.17697615873130135</v>
      </c>
    </row>
    <row r="275">
      <c r="A275" s="3">
        <v>41913.0</v>
      </c>
      <c r="B275" s="6">
        <v>0.17697615873130135</v>
      </c>
    </row>
    <row r="276">
      <c r="A276" s="3">
        <v>41914.0</v>
      </c>
      <c r="B276" s="6">
        <v>0.17697615873130135</v>
      </c>
    </row>
    <row r="277">
      <c r="A277" s="3">
        <v>41915.0</v>
      </c>
      <c r="B277" s="6">
        <v>0.17697615873130135</v>
      </c>
    </row>
    <row r="278">
      <c r="A278" s="3">
        <v>41916.0</v>
      </c>
      <c r="B278" s="6">
        <v>0.17697615873130135</v>
      </c>
    </row>
    <row r="279">
      <c r="A279" s="3">
        <v>41917.0</v>
      </c>
      <c r="B279" s="6">
        <v>0.17697615873130135</v>
      </c>
    </row>
    <row r="280">
      <c r="A280" s="3">
        <v>41918.0</v>
      </c>
      <c r="B280" s="6">
        <v>0.17697615873130135</v>
      </c>
    </row>
    <row r="281">
      <c r="A281" s="3">
        <v>41919.0</v>
      </c>
      <c r="B281" s="6">
        <v>0.17697615873130135</v>
      </c>
    </row>
    <row r="282">
      <c r="A282" s="3">
        <v>41920.0</v>
      </c>
      <c r="B282" s="6">
        <v>0.17697615873130135</v>
      </c>
    </row>
    <row r="283">
      <c r="A283" s="3">
        <v>41921.0</v>
      </c>
      <c r="B283" s="6">
        <v>0.17697615873130135</v>
      </c>
    </row>
    <row r="284">
      <c r="A284" s="3">
        <v>41922.0</v>
      </c>
      <c r="B284" s="6">
        <v>0.17697615873130135</v>
      </c>
    </row>
    <row r="285">
      <c r="A285" s="3">
        <v>41923.0</v>
      </c>
      <c r="B285" s="6">
        <v>0.17697615873130135</v>
      </c>
    </row>
    <row r="286">
      <c r="A286" s="3">
        <v>41924.0</v>
      </c>
      <c r="B286" s="6">
        <v>0.17697615873130135</v>
      </c>
    </row>
    <row r="287">
      <c r="A287" s="3">
        <v>41925.0</v>
      </c>
      <c r="B287" s="6">
        <v>0.17697615873130135</v>
      </c>
    </row>
    <row r="288">
      <c r="A288" s="3">
        <v>41926.0</v>
      </c>
      <c r="B288" s="6">
        <v>0.17697615873130135</v>
      </c>
    </row>
    <row r="289">
      <c r="A289" s="3">
        <v>41927.0</v>
      </c>
      <c r="B289" s="6">
        <v>0.17697615873130135</v>
      </c>
    </row>
    <row r="290">
      <c r="A290" s="3">
        <v>41928.0</v>
      </c>
      <c r="B290" s="6">
        <v>0.17697615873130135</v>
      </c>
    </row>
    <row r="291">
      <c r="A291" s="3">
        <v>41929.0</v>
      </c>
      <c r="B291" s="6">
        <v>0.17697615873130135</v>
      </c>
    </row>
    <row r="292">
      <c r="A292" s="3">
        <v>41930.0</v>
      </c>
      <c r="B292" s="6">
        <v>0.17697615873130135</v>
      </c>
    </row>
    <row r="293">
      <c r="A293" s="3">
        <v>41931.0</v>
      </c>
      <c r="B293" s="6">
        <v>0.17697615873130135</v>
      </c>
    </row>
    <row r="294">
      <c r="A294" s="3">
        <v>41932.0</v>
      </c>
      <c r="B294" s="6">
        <v>0.17697615873130135</v>
      </c>
    </row>
    <row r="295">
      <c r="A295" s="3">
        <v>41933.0</v>
      </c>
      <c r="B295" s="6">
        <v>0.17697615873130135</v>
      </c>
    </row>
    <row r="296">
      <c r="A296" s="3">
        <v>41934.0</v>
      </c>
      <c r="B296" s="6">
        <v>0.17697615873130135</v>
      </c>
    </row>
    <row r="297">
      <c r="A297" s="3">
        <v>41935.0</v>
      </c>
      <c r="B297" s="6">
        <v>0.17697615873130135</v>
      </c>
    </row>
    <row r="298">
      <c r="A298" s="3">
        <v>41936.0</v>
      </c>
      <c r="B298" s="6">
        <v>0.17697615873130135</v>
      </c>
    </row>
    <row r="299">
      <c r="A299" s="3">
        <v>41937.0</v>
      </c>
      <c r="B299" s="6">
        <v>0.17697615873130135</v>
      </c>
    </row>
    <row r="300">
      <c r="A300" s="3">
        <v>41938.0</v>
      </c>
      <c r="B300" s="6">
        <v>0.17697615873130135</v>
      </c>
    </row>
    <row r="301">
      <c r="A301" s="3">
        <v>41939.0</v>
      </c>
      <c r="B301" s="6">
        <v>0.17697615873130135</v>
      </c>
    </row>
    <row r="302">
      <c r="A302" s="3">
        <v>41940.0</v>
      </c>
      <c r="B302" s="6">
        <v>0.17697615873130135</v>
      </c>
    </row>
    <row r="303">
      <c r="A303" s="3">
        <v>41941.0</v>
      </c>
      <c r="B303" s="6">
        <v>0.17697615873130135</v>
      </c>
    </row>
    <row r="304">
      <c r="A304" s="3">
        <v>41942.0</v>
      </c>
      <c r="B304" s="6">
        <v>0.17697615873130135</v>
      </c>
    </row>
    <row r="305">
      <c r="A305" s="3">
        <v>41943.0</v>
      </c>
      <c r="B305" s="6">
        <v>0.17697615873130135</v>
      </c>
    </row>
    <row r="306">
      <c r="A306" s="3">
        <v>41944.0</v>
      </c>
      <c r="B306" s="6">
        <v>0.17697615873130135</v>
      </c>
    </row>
    <row r="307">
      <c r="A307" s="3">
        <v>41945.0</v>
      </c>
      <c r="B307" s="6">
        <v>0.17697615873130135</v>
      </c>
    </row>
    <row r="308">
      <c r="A308" s="3">
        <v>41946.0</v>
      </c>
      <c r="B308" s="6">
        <v>0.17697615873130135</v>
      </c>
    </row>
    <row r="309">
      <c r="A309" s="3">
        <v>41947.0</v>
      </c>
      <c r="B309" s="6">
        <v>0.17697615873130135</v>
      </c>
    </row>
    <row r="310">
      <c r="A310" s="3">
        <v>41948.0</v>
      </c>
      <c r="B310" s="6">
        <v>0.17697615873130135</v>
      </c>
    </row>
    <row r="311">
      <c r="A311" s="3">
        <v>41949.0</v>
      </c>
      <c r="B311" s="6">
        <v>0.17697615873130135</v>
      </c>
    </row>
    <row r="312">
      <c r="A312" s="3">
        <v>41950.0</v>
      </c>
      <c r="B312" s="6">
        <v>0.17697615873130135</v>
      </c>
    </row>
    <row r="313">
      <c r="A313" s="3">
        <v>41951.0</v>
      </c>
      <c r="B313" s="6">
        <v>0.17697615873130135</v>
      </c>
    </row>
    <row r="314">
      <c r="A314" s="3">
        <v>41952.0</v>
      </c>
      <c r="B314" s="6">
        <v>0.17697615873130135</v>
      </c>
    </row>
    <row r="315">
      <c r="A315" s="3">
        <v>41953.0</v>
      </c>
      <c r="B315" s="6">
        <v>0.17697615873130135</v>
      </c>
    </row>
    <row r="316">
      <c r="A316" s="3">
        <v>41954.0</v>
      </c>
      <c r="B316" s="6">
        <v>0.17697615873130135</v>
      </c>
    </row>
    <row r="317">
      <c r="A317" s="3">
        <v>41955.0</v>
      </c>
      <c r="B317" s="6">
        <v>0.17697615873130135</v>
      </c>
    </row>
    <row r="318">
      <c r="A318" s="3">
        <v>41956.0</v>
      </c>
      <c r="B318" s="6">
        <v>0.17697615873130135</v>
      </c>
    </row>
    <row r="319">
      <c r="A319" s="3">
        <v>41957.0</v>
      </c>
      <c r="B319" s="6">
        <v>0.17697615873130135</v>
      </c>
    </row>
    <row r="320">
      <c r="A320" s="3">
        <v>41958.0</v>
      </c>
      <c r="B320" s="6">
        <v>0.17697615873130135</v>
      </c>
    </row>
    <row r="321">
      <c r="A321" s="3">
        <v>41959.0</v>
      </c>
      <c r="B321" s="6">
        <v>0.17697615873130135</v>
      </c>
    </row>
    <row r="322">
      <c r="A322" s="3">
        <v>41960.0</v>
      </c>
      <c r="B322" s="6">
        <v>0.17697615873130135</v>
      </c>
    </row>
    <row r="323">
      <c r="A323" s="3">
        <v>41961.0</v>
      </c>
      <c r="B323" s="6">
        <v>0.17697615873130135</v>
      </c>
    </row>
    <row r="324">
      <c r="A324" s="3">
        <v>41962.0</v>
      </c>
      <c r="B324" s="6">
        <v>0.17697615873130135</v>
      </c>
    </row>
    <row r="325">
      <c r="A325" s="3">
        <v>41963.0</v>
      </c>
      <c r="B325" s="6">
        <v>0.17697615873130135</v>
      </c>
    </row>
    <row r="326">
      <c r="A326" s="3">
        <v>41964.0</v>
      </c>
      <c r="B326" s="6">
        <v>0.17697615873130135</v>
      </c>
    </row>
    <row r="327">
      <c r="A327" s="3">
        <v>41965.0</v>
      </c>
      <c r="B327" s="6">
        <v>0.17697615873130135</v>
      </c>
    </row>
    <row r="328">
      <c r="A328" s="3">
        <v>41966.0</v>
      </c>
      <c r="B328" s="6">
        <v>0.17697615873130135</v>
      </c>
    </row>
    <row r="329">
      <c r="A329" s="3">
        <v>41967.0</v>
      </c>
      <c r="B329" s="6">
        <v>0.17697615873130135</v>
      </c>
    </row>
    <row r="330">
      <c r="A330" s="3">
        <v>41968.0</v>
      </c>
      <c r="B330" s="6">
        <v>0.17697615873130135</v>
      </c>
    </row>
    <row r="331">
      <c r="A331" s="3">
        <v>41969.0</v>
      </c>
      <c r="B331" s="6">
        <v>0.17697615873130135</v>
      </c>
    </row>
    <row r="332">
      <c r="A332" s="3">
        <v>41970.0</v>
      </c>
      <c r="B332" s="6">
        <v>0.17697615873130135</v>
      </c>
    </row>
    <row r="333">
      <c r="A333" s="3">
        <v>41971.0</v>
      </c>
      <c r="B333" s="6">
        <v>0.17697615873130135</v>
      </c>
    </row>
    <row r="334">
      <c r="A334" s="3">
        <v>41972.0</v>
      </c>
      <c r="B334" s="6">
        <v>0.17697615873130135</v>
      </c>
    </row>
    <row r="335">
      <c r="A335" s="3">
        <v>41973.0</v>
      </c>
      <c r="B335" s="6">
        <v>0.17697615873130135</v>
      </c>
    </row>
    <row r="336">
      <c r="A336" s="3">
        <v>41974.0</v>
      </c>
      <c r="B336" s="6">
        <v>0.17697615873130135</v>
      </c>
    </row>
    <row r="337">
      <c r="A337" s="3">
        <v>41975.0</v>
      </c>
      <c r="B337" s="6">
        <v>0.17697615873130135</v>
      </c>
    </row>
    <row r="338">
      <c r="A338" s="3">
        <v>41976.0</v>
      </c>
      <c r="B338" s="6">
        <v>0.17697615873130135</v>
      </c>
    </row>
    <row r="339">
      <c r="A339" s="3">
        <v>41977.0</v>
      </c>
      <c r="B339" s="6">
        <v>0.17697615873130135</v>
      </c>
    </row>
    <row r="340">
      <c r="A340" s="3">
        <v>41978.0</v>
      </c>
      <c r="B340" s="6">
        <v>0.17697615873130135</v>
      </c>
    </row>
    <row r="341">
      <c r="A341" s="3">
        <v>41979.0</v>
      </c>
      <c r="B341" s="6">
        <v>0.17697615873130135</v>
      </c>
    </row>
    <row r="342">
      <c r="A342" s="3">
        <v>41980.0</v>
      </c>
      <c r="B342" s="6">
        <v>0.17697615873130135</v>
      </c>
    </row>
    <row r="343">
      <c r="A343" s="3">
        <v>41981.0</v>
      </c>
      <c r="B343" s="6">
        <v>0.17697615873130135</v>
      </c>
    </row>
    <row r="344">
      <c r="A344" s="3">
        <v>41982.0</v>
      </c>
      <c r="B344" s="6">
        <v>0.17697615873130135</v>
      </c>
    </row>
    <row r="345">
      <c r="A345" s="3">
        <v>41983.0</v>
      </c>
      <c r="B345" s="6">
        <v>0.17697615873130135</v>
      </c>
    </row>
    <row r="346">
      <c r="A346" s="3">
        <v>41984.0</v>
      </c>
      <c r="B346" s="6">
        <v>0.17697615873130135</v>
      </c>
    </row>
    <row r="347">
      <c r="A347" s="3">
        <v>41985.0</v>
      </c>
      <c r="B347" s="6">
        <v>0.17697615873130135</v>
      </c>
    </row>
    <row r="348">
      <c r="A348" s="3">
        <v>41986.0</v>
      </c>
      <c r="B348" s="6">
        <v>0.17697615873130135</v>
      </c>
    </row>
    <row r="349">
      <c r="A349" s="3">
        <v>41987.0</v>
      </c>
      <c r="B349" s="6">
        <v>0.17697615873130135</v>
      </c>
    </row>
    <row r="350">
      <c r="A350" s="3">
        <v>41988.0</v>
      </c>
      <c r="B350" s="6">
        <v>0.17697615873130135</v>
      </c>
    </row>
    <row r="351">
      <c r="A351" s="3">
        <v>41989.0</v>
      </c>
      <c r="B351" s="6">
        <v>0.17697615873130135</v>
      </c>
    </row>
    <row r="352">
      <c r="A352" s="3">
        <v>41990.0</v>
      </c>
      <c r="B352" s="6">
        <v>0.17697615873130135</v>
      </c>
    </row>
    <row r="353">
      <c r="A353" s="3">
        <v>41991.0</v>
      </c>
      <c r="B353" s="6">
        <v>0.17697615873130135</v>
      </c>
    </row>
    <row r="354">
      <c r="A354" s="3">
        <v>41992.0</v>
      </c>
      <c r="B354" s="6">
        <v>0.17697615873130135</v>
      </c>
    </row>
    <row r="355">
      <c r="A355" s="3">
        <v>41993.0</v>
      </c>
      <c r="B355" s="6">
        <v>0.17697615873130135</v>
      </c>
    </row>
    <row r="356">
      <c r="A356" s="3">
        <v>41994.0</v>
      </c>
      <c r="B356" s="6">
        <v>0.17697615873130135</v>
      </c>
    </row>
    <row r="357">
      <c r="A357" s="3">
        <v>41995.0</v>
      </c>
      <c r="B357" s="6">
        <v>0.17697615873130135</v>
      </c>
    </row>
    <row r="358">
      <c r="A358" s="3">
        <v>41996.0</v>
      </c>
      <c r="B358" s="6">
        <v>0.17697615873130135</v>
      </c>
    </row>
    <row r="359">
      <c r="A359" s="3">
        <v>41997.0</v>
      </c>
      <c r="B359" s="6">
        <v>0.17697615873130135</v>
      </c>
    </row>
    <row r="360">
      <c r="A360" s="3">
        <v>41998.0</v>
      </c>
      <c r="B360" s="6">
        <v>0.17697615873130135</v>
      </c>
    </row>
    <row r="361">
      <c r="A361" s="3">
        <v>41999.0</v>
      </c>
      <c r="B361" s="6">
        <v>0.17697615873130135</v>
      </c>
    </row>
    <row r="362">
      <c r="A362" s="3">
        <v>42000.0</v>
      </c>
      <c r="B362" s="6">
        <v>0.17697615873130135</v>
      </c>
    </row>
    <row r="363">
      <c r="A363" s="3">
        <v>42001.0</v>
      </c>
      <c r="B363" s="6">
        <v>0.17697615873130135</v>
      </c>
    </row>
    <row r="364">
      <c r="A364" s="3">
        <v>42002.0</v>
      </c>
      <c r="B364" s="6">
        <v>0.17697615873130135</v>
      </c>
    </row>
    <row r="365">
      <c r="A365" s="3">
        <v>42003.0</v>
      </c>
      <c r="B365" s="6">
        <v>0.17697615873130135</v>
      </c>
    </row>
    <row r="366">
      <c r="A366" s="3">
        <v>42004.0</v>
      </c>
      <c r="B366" s="6">
        <v>0.17697615873130135</v>
      </c>
    </row>
    <row r="367">
      <c r="A367" s="3">
        <v>42005.0</v>
      </c>
      <c r="B367" s="6">
        <v>0.15258105029830554</v>
      </c>
    </row>
    <row r="368">
      <c r="A368" s="3">
        <v>42006.0</v>
      </c>
      <c r="B368" s="6">
        <v>0.15258105029830554</v>
      </c>
    </row>
    <row r="369">
      <c r="A369" s="3">
        <v>42007.0</v>
      </c>
      <c r="B369" s="6">
        <v>0.15258105029830554</v>
      </c>
    </row>
    <row r="370">
      <c r="A370" s="3">
        <v>42008.0</v>
      </c>
      <c r="B370" s="6">
        <v>0.15258105029830554</v>
      </c>
    </row>
    <row r="371">
      <c r="A371" s="3">
        <v>42009.0</v>
      </c>
      <c r="B371" s="6">
        <v>0.15258105029830554</v>
      </c>
    </row>
    <row r="372">
      <c r="A372" s="3">
        <v>42010.0</v>
      </c>
      <c r="B372" s="6">
        <v>0.15258105029830554</v>
      </c>
    </row>
    <row r="373">
      <c r="A373" s="3">
        <v>42011.0</v>
      </c>
      <c r="B373" s="6">
        <v>0.15258105029830554</v>
      </c>
    </row>
    <row r="374">
      <c r="A374" s="3">
        <v>42012.0</v>
      </c>
      <c r="B374" s="6">
        <v>0.15258105029830554</v>
      </c>
    </row>
    <row r="375">
      <c r="A375" s="3">
        <v>42013.0</v>
      </c>
      <c r="B375" s="6">
        <v>0.15258105029830554</v>
      </c>
    </row>
    <row r="376">
      <c r="A376" s="3">
        <v>42014.0</v>
      </c>
      <c r="B376" s="6">
        <v>0.15258105029830554</v>
      </c>
    </row>
    <row r="377">
      <c r="A377" s="3">
        <v>42015.0</v>
      </c>
      <c r="B377" s="6">
        <v>0.15258105029830554</v>
      </c>
    </row>
    <row r="378">
      <c r="A378" s="3">
        <v>42016.0</v>
      </c>
      <c r="B378" s="6">
        <v>0.15258105029830554</v>
      </c>
    </row>
    <row r="379">
      <c r="A379" s="3">
        <v>42017.0</v>
      </c>
      <c r="B379" s="6">
        <v>0.15258105029830554</v>
      </c>
    </row>
    <row r="380">
      <c r="A380" s="3">
        <v>42018.0</v>
      </c>
      <c r="B380" s="6">
        <v>0.15258105029830554</v>
      </c>
    </row>
    <row r="381">
      <c r="A381" s="3">
        <v>42019.0</v>
      </c>
      <c r="B381" s="6">
        <v>0.15258105029830554</v>
      </c>
    </row>
    <row r="382">
      <c r="A382" s="3">
        <v>42020.0</v>
      </c>
      <c r="B382" s="6">
        <v>0.15258105029830554</v>
      </c>
    </row>
    <row r="383">
      <c r="A383" s="3">
        <v>42021.0</v>
      </c>
      <c r="B383" s="6">
        <v>0.15258105029830554</v>
      </c>
    </row>
    <row r="384">
      <c r="A384" s="3">
        <v>42022.0</v>
      </c>
      <c r="B384" s="6">
        <v>0.15258105029830554</v>
      </c>
    </row>
    <row r="385">
      <c r="A385" s="3">
        <v>42023.0</v>
      </c>
      <c r="B385" s="6">
        <v>0.15258105029830554</v>
      </c>
    </row>
    <row r="386">
      <c r="A386" s="3">
        <v>42024.0</v>
      </c>
      <c r="B386" s="6">
        <v>0.15258105029830554</v>
      </c>
    </row>
    <row r="387">
      <c r="A387" s="3">
        <v>42025.0</v>
      </c>
      <c r="B387" s="6">
        <v>0.15258105029830554</v>
      </c>
    </row>
    <row r="388">
      <c r="A388" s="3">
        <v>42026.0</v>
      </c>
      <c r="B388" s="6">
        <v>0.15258105029830554</v>
      </c>
    </row>
    <row r="389">
      <c r="A389" s="3">
        <v>42027.0</v>
      </c>
      <c r="B389" s="6">
        <v>0.15258105029830554</v>
      </c>
    </row>
    <row r="390">
      <c r="A390" s="3">
        <v>42028.0</v>
      </c>
      <c r="B390" s="6">
        <v>0.15258105029830554</v>
      </c>
    </row>
    <row r="391">
      <c r="A391" s="3">
        <v>42029.0</v>
      </c>
      <c r="B391" s="6">
        <v>0.15258105029830554</v>
      </c>
    </row>
    <row r="392">
      <c r="A392" s="3">
        <v>42030.0</v>
      </c>
      <c r="B392" s="6">
        <v>0.15258105029830554</v>
      </c>
    </row>
    <row r="393">
      <c r="A393" s="3">
        <v>42031.0</v>
      </c>
      <c r="B393" s="6">
        <v>0.15258105029830554</v>
      </c>
    </row>
    <row r="394">
      <c r="A394" s="3">
        <v>42032.0</v>
      </c>
      <c r="B394" s="6">
        <v>0.15258105029830554</v>
      </c>
    </row>
    <row r="395">
      <c r="A395" s="3">
        <v>42033.0</v>
      </c>
      <c r="B395" s="6">
        <v>0.15258105029830554</v>
      </c>
    </row>
    <row r="396">
      <c r="A396" s="3">
        <v>42034.0</v>
      </c>
      <c r="B396" s="6">
        <v>0.15258105029830554</v>
      </c>
    </row>
    <row r="397">
      <c r="A397" s="3">
        <v>42035.0</v>
      </c>
      <c r="B397" s="6">
        <v>0.15258105029830554</v>
      </c>
    </row>
    <row r="398">
      <c r="A398" s="3">
        <v>42036.0</v>
      </c>
      <c r="B398" s="6">
        <v>0.15258105029830554</v>
      </c>
    </row>
    <row r="399">
      <c r="A399" s="3">
        <v>42037.0</v>
      </c>
      <c r="B399" s="6">
        <v>0.15258105029830554</v>
      </c>
    </row>
    <row r="400">
      <c r="A400" s="3">
        <v>42038.0</v>
      </c>
      <c r="B400" s="6">
        <v>0.15258105029830554</v>
      </c>
    </row>
    <row r="401">
      <c r="A401" s="3">
        <v>42039.0</v>
      </c>
      <c r="B401" s="6">
        <v>0.15258105029830554</v>
      </c>
    </row>
    <row r="402">
      <c r="A402" s="3">
        <v>42040.0</v>
      </c>
      <c r="B402" s="6">
        <v>0.15258105029830554</v>
      </c>
    </row>
    <row r="403">
      <c r="A403" s="3">
        <v>42041.0</v>
      </c>
      <c r="B403" s="6">
        <v>0.15258105029830554</v>
      </c>
    </row>
    <row r="404">
      <c r="A404" s="3">
        <v>42042.0</v>
      </c>
      <c r="B404" s="6">
        <v>0.15258105029830554</v>
      </c>
    </row>
    <row r="405">
      <c r="A405" s="3">
        <v>42043.0</v>
      </c>
      <c r="B405" s="6">
        <v>0.15258105029830554</v>
      </c>
    </row>
    <row r="406">
      <c r="A406" s="3">
        <v>42044.0</v>
      </c>
      <c r="B406" s="6">
        <v>0.15258105029830554</v>
      </c>
    </row>
    <row r="407">
      <c r="A407" s="3">
        <v>42045.0</v>
      </c>
      <c r="B407" s="6">
        <v>0.15258105029830554</v>
      </c>
    </row>
    <row r="408">
      <c r="A408" s="3">
        <v>42046.0</v>
      </c>
      <c r="B408" s="6">
        <v>0.15258105029830554</v>
      </c>
    </row>
    <row r="409">
      <c r="A409" s="3">
        <v>42047.0</v>
      </c>
      <c r="B409" s="6">
        <v>0.15258105029830554</v>
      </c>
    </row>
    <row r="410">
      <c r="A410" s="3">
        <v>42048.0</v>
      </c>
      <c r="B410" s="6">
        <v>0.15258105029830554</v>
      </c>
    </row>
    <row r="411">
      <c r="A411" s="3">
        <v>42049.0</v>
      </c>
      <c r="B411" s="6">
        <v>0.15258105029830554</v>
      </c>
    </row>
    <row r="412">
      <c r="A412" s="3">
        <v>42050.0</v>
      </c>
      <c r="B412" s="6">
        <v>0.15258105029830554</v>
      </c>
    </row>
    <row r="413">
      <c r="A413" s="3">
        <v>42051.0</v>
      </c>
      <c r="B413" s="6">
        <v>0.15258105029830554</v>
      </c>
    </row>
    <row r="414">
      <c r="A414" s="3">
        <v>42052.0</v>
      </c>
      <c r="B414" s="6">
        <v>0.15258105029830554</v>
      </c>
    </row>
    <row r="415">
      <c r="A415" s="3">
        <v>42053.0</v>
      </c>
      <c r="B415" s="6">
        <v>0.15258105029830554</v>
      </c>
    </row>
    <row r="416">
      <c r="A416" s="3">
        <v>42054.0</v>
      </c>
      <c r="B416" s="6">
        <v>0.15258105029830554</v>
      </c>
    </row>
    <row r="417">
      <c r="A417" s="3">
        <v>42055.0</v>
      </c>
      <c r="B417" s="6">
        <v>0.15258105029830554</v>
      </c>
    </row>
    <row r="418">
      <c r="A418" s="3">
        <v>42056.0</v>
      </c>
      <c r="B418" s="6">
        <v>0.15258105029830554</v>
      </c>
    </row>
    <row r="419">
      <c r="A419" s="3">
        <v>42057.0</v>
      </c>
      <c r="B419" s="6">
        <v>0.15258105029830554</v>
      </c>
    </row>
    <row r="420">
      <c r="A420" s="3">
        <v>42058.0</v>
      </c>
      <c r="B420" s="6">
        <v>0.15258105029830554</v>
      </c>
    </row>
    <row r="421">
      <c r="A421" s="3">
        <v>42059.0</v>
      </c>
      <c r="B421" s="6">
        <v>0.15258105029830554</v>
      </c>
    </row>
    <row r="422">
      <c r="A422" s="3">
        <v>42060.0</v>
      </c>
      <c r="B422" s="6">
        <v>0.15258105029830554</v>
      </c>
    </row>
    <row r="423">
      <c r="A423" s="3">
        <v>42061.0</v>
      </c>
      <c r="B423" s="6">
        <v>0.15258105029830554</v>
      </c>
    </row>
    <row r="424">
      <c r="A424" s="3">
        <v>42062.0</v>
      </c>
      <c r="B424" s="6">
        <v>0.15258105029830554</v>
      </c>
    </row>
    <row r="425">
      <c r="A425" s="3">
        <v>42063.0</v>
      </c>
      <c r="B425" s="6">
        <v>0.15258105029830554</v>
      </c>
    </row>
    <row r="426">
      <c r="A426" s="3">
        <v>42064.0</v>
      </c>
      <c r="B426" s="6">
        <v>0.15258105029830554</v>
      </c>
    </row>
    <row r="427">
      <c r="A427" s="3">
        <v>42065.0</v>
      </c>
      <c r="B427" s="6">
        <v>0.15258105029830554</v>
      </c>
    </row>
    <row r="428">
      <c r="A428" s="3">
        <v>42066.0</v>
      </c>
      <c r="B428" s="6">
        <v>0.15258105029830554</v>
      </c>
    </row>
    <row r="429">
      <c r="A429" s="3">
        <v>42067.0</v>
      </c>
      <c r="B429" s="6">
        <v>0.15258105029830554</v>
      </c>
    </row>
    <row r="430">
      <c r="A430" s="3">
        <v>42068.0</v>
      </c>
      <c r="B430" s="6">
        <v>0.15258105029830554</v>
      </c>
    </row>
    <row r="431">
      <c r="A431" s="3">
        <v>42069.0</v>
      </c>
      <c r="B431" s="6">
        <v>0.15258105029830554</v>
      </c>
    </row>
    <row r="432">
      <c r="A432" s="3">
        <v>42070.0</v>
      </c>
      <c r="B432" s="6">
        <v>0.15258105029830554</v>
      </c>
    </row>
    <row r="433">
      <c r="A433" s="3">
        <v>42071.0</v>
      </c>
      <c r="B433" s="6">
        <v>0.15258105029830554</v>
      </c>
    </row>
    <row r="434">
      <c r="A434" s="3">
        <v>42072.0</v>
      </c>
      <c r="B434" s="6">
        <v>0.15258105029830554</v>
      </c>
    </row>
    <row r="435">
      <c r="A435" s="3">
        <v>42073.0</v>
      </c>
      <c r="B435" s="6">
        <v>0.15258105029830554</v>
      </c>
    </row>
    <row r="436">
      <c r="A436" s="3">
        <v>42074.0</v>
      </c>
      <c r="B436" s="6">
        <v>0.15258105029830554</v>
      </c>
    </row>
    <row r="437">
      <c r="A437" s="3">
        <v>42075.0</v>
      </c>
      <c r="B437" s="6">
        <v>0.15258105029830554</v>
      </c>
    </row>
    <row r="438">
      <c r="A438" s="3">
        <v>42076.0</v>
      </c>
      <c r="B438" s="6">
        <v>0.15258105029830554</v>
      </c>
    </row>
    <row r="439">
      <c r="A439" s="3">
        <v>42077.0</v>
      </c>
      <c r="B439" s="6">
        <v>0.15258105029830554</v>
      </c>
    </row>
    <row r="440">
      <c r="A440" s="3">
        <v>42078.0</v>
      </c>
      <c r="B440" s="6">
        <v>0.15258105029830554</v>
      </c>
    </row>
    <row r="441">
      <c r="A441" s="3">
        <v>42079.0</v>
      </c>
      <c r="B441" s="6">
        <v>0.15258105029830554</v>
      </c>
    </row>
    <row r="442">
      <c r="A442" s="3">
        <v>42080.0</v>
      </c>
      <c r="B442" s="6">
        <v>0.15258105029830554</v>
      </c>
    </row>
    <row r="443">
      <c r="A443" s="3">
        <v>42081.0</v>
      </c>
      <c r="B443" s="6">
        <v>0.15258105029830554</v>
      </c>
    </row>
    <row r="444">
      <c r="A444" s="3">
        <v>42082.0</v>
      </c>
      <c r="B444" s="6">
        <v>0.15258105029830554</v>
      </c>
    </row>
    <row r="445">
      <c r="A445" s="3">
        <v>42083.0</v>
      </c>
      <c r="B445" s="6">
        <v>0.15258105029830554</v>
      </c>
    </row>
    <row r="446">
      <c r="A446" s="3">
        <v>42084.0</v>
      </c>
      <c r="B446" s="6">
        <v>0.15258105029830554</v>
      </c>
    </row>
    <row r="447">
      <c r="A447" s="3">
        <v>42085.0</v>
      </c>
      <c r="B447" s="6">
        <v>0.15258105029830554</v>
      </c>
    </row>
    <row r="448">
      <c r="A448" s="3">
        <v>42086.0</v>
      </c>
      <c r="B448" s="6">
        <v>0.15258105029830554</v>
      </c>
    </row>
    <row r="449">
      <c r="A449" s="3">
        <v>42087.0</v>
      </c>
      <c r="B449" s="6">
        <v>0.15258105029830554</v>
      </c>
    </row>
    <row r="450">
      <c r="A450" s="3">
        <v>42088.0</v>
      </c>
      <c r="B450" s="6">
        <v>0.15258105029830554</v>
      </c>
    </row>
    <row r="451">
      <c r="A451" s="3">
        <v>42089.0</v>
      </c>
      <c r="B451" s="6">
        <v>0.15258105029830554</v>
      </c>
    </row>
    <row r="452">
      <c r="A452" s="3">
        <v>42090.0</v>
      </c>
      <c r="B452" s="6">
        <v>0.15258105029830554</v>
      </c>
    </row>
    <row r="453">
      <c r="A453" s="3">
        <v>42091.0</v>
      </c>
      <c r="B453" s="6">
        <v>0.15258105029830554</v>
      </c>
    </row>
    <row r="454">
      <c r="A454" s="3">
        <v>42092.0</v>
      </c>
      <c r="B454" s="6">
        <v>0.15258105029830554</v>
      </c>
    </row>
    <row r="455">
      <c r="A455" s="3">
        <v>42093.0</v>
      </c>
      <c r="B455" s="6">
        <v>0.15258105029830554</v>
      </c>
    </row>
    <row r="456">
      <c r="A456" s="3">
        <v>42094.0</v>
      </c>
      <c r="B456" s="6">
        <v>0.15258105029830554</v>
      </c>
    </row>
    <row r="457">
      <c r="A457" s="3">
        <v>42095.0</v>
      </c>
      <c r="B457" s="6">
        <v>0.15258105029830554</v>
      </c>
    </row>
    <row r="458">
      <c r="A458" s="3">
        <v>42096.0</v>
      </c>
      <c r="B458" s="6">
        <v>0.15258105029830554</v>
      </c>
    </row>
    <row r="459">
      <c r="A459" s="3">
        <v>42097.0</v>
      </c>
      <c r="B459" s="6">
        <v>0.15258105029830554</v>
      </c>
    </row>
    <row r="460">
      <c r="A460" s="3">
        <v>42098.0</v>
      </c>
      <c r="B460" s="6">
        <v>0.15258105029830554</v>
      </c>
    </row>
    <row r="461">
      <c r="A461" s="3">
        <v>42099.0</v>
      </c>
      <c r="B461" s="6">
        <v>0.15258105029830554</v>
      </c>
    </row>
    <row r="462">
      <c r="A462" s="3">
        <v>42100.0</v>
      </c>
      <c r="B462" s="6">
        <v>0.15258105029830554</v>
      </c>
    </row>
    <row r="463">
      <c r="A463" s="3">
        <v>42101.0</v>
      </c>
      <c r="B463" s="6">
        <v>0.15258105029830554</v>
      </c>
    </row>
    <row r="464">
      <c r="A464" s="3">
        <v>42102.0</v>
      </c>
      <c r="B464" s="6">
        <v>0.15258105029830554</v>
      </c>
    </row>
    <row r="465">
      <c r="A465" s="3">
        <v>42103.0</v>
      </c>
      <c r="B465" s="6">
        <v>0.15258105029830554</v>
      </c>
    </row>
    <row r="466">
      <c r="A466" s="3">
        <v>42104.0</v>
      </c>
      <c r="B466" s="6">
        <v>0.15258105029830554</v>
      </c>
    </row>
    <row r="467">
      <c r="A467" s="3">
        <v>42105.0</v>
      </c>
      <c r="B467" s="6">
        <v>0.15258105029830554</v>
      </c>
    </row>
    <row r="468">
      <c r="A468" s="3">
        <v>42106.0</v>
      </c>
      <c r="B468" s="6">
        <v>0.15258105029830554</v>
      </c>
    </row>
    <row r="469">
      <c r="A469" s="3">
        <v>42107.0</v>
      </c>
      <c r="B469" s="6">
        <v>0.15258105029830554</v>
      </c>
    </row>
    <row r="470">
      <c r="A470" s="3">
        <v>42108.0</v>
      </c>
      <c r="B470" s="6">
        <v>0.15258105029830554</v>
      </c>
    </row>
    <row r="471">
      <c r="A471" s="3">
        <v>42109.0</v>
      </c>
      <c r="B471" s="6">
        <v>0.15258105029830554</v>
      </c>
    </row>
    <row r="472">
      <c r="A472" s="3">
        <v>42110.0</v>
      </c>
      <c r="B472" s="6">
        <v>0.15258105029830554</v>
      </c>
    </row>
    <row r="473">
      <c r="A473" s="3">
        <v>42111.0</v>
      </c>
      <c r="B473" s="6">
        <v>0.15258105029830554</v>
      </c>
    </row>
    <row r="474">
      <c r="A474" s="3">
        <v>42112.0</v>
      </c>
      <c r="B474" s="6">
        <v>0.15258105029830554</v>
      </c>
    </row>
    <row r="475">
      <c r="A475" s="3">
        <v>42113.0</v>
      </c>
      <c r="B475" s="6">
        <v>0.15258105029830554</v>
      </c>
    </row>
    <row r="476">
      <c r="A476" s="3">
        <v>42114.0</v>
      </c>
      <c r="B476" s="6">
        <v>0.15258105029830554</v>
      </c>
    </row>
    <row r="477">
      <c r="A477" s="3">
        <v>42115.0</v>
      </c>
      <c r="B477" s="6">
        <v>0.15258105029830554</v>
      </c>
    </row>
    <row r="478">
      <c r="A478" s="3">
        <v>42116.0</v>
      </c>
      <c r="B478" s="6">
        <v>0.15258105029830554</v>
      </c>
    </row>
    <row r="479">
      <c r="A479" s="3">
        <v>42117.0</v>
      </c>
      <c r="B479" s="6">
        <v>0.15258105029830554</v>
      </c>
    </row>
    <row r="480">
      <c r="A480" s="3">
        <v>42118.0</v>
      </c>
      <c r="B480" s="6">
        <v>0.15258105029830554</v>
      </c>
    </row>
    <row r="481">
      <c r="A481" s="3">
        <v>42119.0</v>
      </c>
      <c r="B481" s="6">
        <v>0.15258105029830554</v>
      </c>
    </row>
    <row r="482">
      <c r="A482" s="3">
        <v>42120.0</v>
      </c>
      <c r="B482" s="6">
        <v>0.15258105029830554</v>
      </c>
    </row>
    <row r="483">
      <c r="A483" s="3">
        <v>42121.0</v>
      </c>
      <c r="B483" s="6">
        <v>0.15258105029830554</v>
      </c>
    </row>
    <row r="484">
      <c r="A484" s="3">
        <v>42122.0</v>
      </c>
      <c r="B484" s="6">
        <v>0.15258105029830554</v>
      </c>
    </row>
    <row r="485">
      <c r="A485" s="3">
        <v>42123.0</v>
      </c>
      <c r="B485" s="6">
        <v>0.15258105029830554</v>
      </c>
    </row>
    <row r="486">
      <c r="A486" s="3">
        <v>42124.0</v>
      </c>
      <c r="B486" s="6">
        <v>0.15258105029830554</v>
      </c>
    </row>
    <row r="487">
      <c r="A487" s="3">
        <v>42125.0</v>
      </c>
      <c r="B487" s="6">
        <v>0.15258105029830554</v>
      </c>
    </row>
    <row r="488">
      <c r="A488" s="3">
        <v>42126.0</v>
      </c>
      <c r="B488" s="6">
        <v>0.15258105029830554</v>
      </c>
    </row>
    <row r="489">
      <c r="A489" s="3">
        <v>42127.0</v>
      </c>
      <c r="B489" s="6">
        <v>0.15258105029830554</v>
      </c>
    </row>
    <row r="490">
      <c r="A490" s="3">
        <v>42128.0</v>
      </c>
      <c r="B490" s="6">
        <v>0.15258105029830554</v>
      </c>
    </row>
    <row r="491">
      <c r="A491" s="3">
        <v>42129.0</v>
      </c>
      <c r="B491" s="6">
        <v>0.15258105029830554</v>
      </c>
    </row>
    <row r="492">
      <c r="A492" s="3">
        <v>42130.0</v>
      </c>
      <c r="B492" s="6">
        <v>0.15258105029830554</v>
      </c>
    </row>
    <row r="493">
      <c r="A493" s="3">
        <v>42131.0</v>
      </c>
      <c r="B493" s="6">
        <v>0.15258105029830554</v>
      </c>
    </row>
    <row r="494">
      <c r="A494" s="3">
        <v>42132.0</v>
      </c>
      <c r="B494" s="6">
        <v>0.15258105029830554</v>
      </c>
    </row>
    <row r="495">
      <c r="A495" s="3">
        <v>42133.0</v>
      </c>
      <c r="B495" s="6">
        <v>0.15258105029830554</v>
      </c>
    </row>
    <row r="496">
      <c r="A496" s="3">
        <v>42134.0</v>
      </c>
      <c r="B496" s="6">
        <v>0.15258105029830554</v>
      </c>
    </row>
    <row r="497">
      <c r="A497" s="3">
        <v>42135.0</v>
      </c>
      <c r="B497" s="6">
        <v>0.15258105029830554</v>
      </c>
    </row>
    <row r="498">
      <c r="A498" s="3">
        <v>42136.0</v>
      </c>
      <c r="B498" s="6">
        <v>0.15258105029830554</v>
      </c>
    </row>
    <row r="499">
      <c r="A499" s="3">
        <v>42137.0</v>
      </c>
      <c r="B499" s="6">
        <v>0.15258105029830554</v>
      </c>
    </row>
    <row r="500">
      <c r="A500" s="3">
        <v>42138.0</v>
      </c>
      <c r="B500" s="6">
        <v>0.15258105029830554</v>
      </c>
    </row>
    <row r="501">
      <c r="A501" s="3">
        <v>42139.0</v>
      </c>
      <c r="B501" s="6">
        <v>0.15258105029830554</v>
      </c>
    </row>
    <row r="502">
      <c r="A502" s="3">
        <v>42140.0</v>
      </c>
      <c r="B502" s="6">
        <v>0.15258105029830554</v>
      </c>
    </row>
    <row r="503">
      <c r="A503" s="3">
        <v>42141.0</v>
      </c>
      <c r="B503" s="6">
        <v>0.15258105029830554</v>
      </c>
    </row>
    <row r="504">
      <c r="A504" s="3">
        <v>42142.0</v>
      </c>
      <c r="B504" s="6">
        <v>0.15258105029830554</v>
      </c>
    </row>
    <row r="505">
      <c r="A505" s="3">
        <v>42143.0</v>
      </c>
      <c r="B505" s="6">
        <v>0.15258105029830554</v>
      </c>
    </row>
    <row r="506">
      <c r="A506" s="3">
        <v>42144.0</v>
      </c>
      <c r="B506" s="6">
        <v>0.15258105029830554</v>
      </c>
    </row>
    <row r="507">
      <c r="A507" s="3">
        <v>42145.0</v>
      </c>
      <c r="B507" s="6">
        <v>0.15258105029830554</v>
      </c>
    </row>
    <row r="508">
      <c r="A508" s="3">
        <v>42146.0</v>
      </c>
      <c r="B508" s="6">
        <v>0.15258105029830554</v>
      </c>
    </row>
    <row r="509">
      <c r="A509" s="3">
        <v>42147.0</v>
      </c>
      <c r="B509" s="6">
        <v>0.15258105029830554</v>
      </c>
    </row>
    <row r="510">
      <c r="A510" s="3">
        <v>42148.0</v>
      </c>
      <c r="B510" s="6">
        <v>0.15258105029830554</v>
      </c>
    </row>
    <row r="511">
      <c r="A511" s="3">
        <v>42149.0</v>
      </c>
      <c r="B511" s="6">
        <v>0.15258105029830554</v>
      </c>
    </row>
    <row r="512">
      <c r="A512" s="3">
        <v>42150.0</v>
      </c>
      <c r="B512" s="6">
        <v>0.15258105029830554</v>
      </c>
    </row>
    <row r="513">
      <c r="A513" s="3">
        <v>42151.0</v>
      </c>
      <c r="B513" s="6">
        <v>0.15258105029830554</v>
      </c>
    </row>
    <row r="514">
      <c r="A514" s="3">
        <v>42152.0</v>
      </c>
      <c r="B514" s="6">
        <v>0.15258105029830554</v>
      </c>
    </row>
    <row r="515">
      <c r="A515" s="3">
        <v>42153.0</v>
      </c>
      <c r="B515" s="6">
        <v>0.15258105029830554</v>
      </c>
    </row>
    <row r="516">
      <c r="A516" s="3">
        <v>42154.0</v>
      </c>
      <c r="B516" s="6">
        <v>0.15258105029830554</v>
      </c>
    </row>
    <row r="517">
      <c r="A517" s="3">
        <v>42155.0</v>
      </c>
      <c r="B517" s="6">
        <v>0.15258105029830554</v>
      </c>
    </row>
    <row r="518">
      <c r="A518" s="3">
        <v>42156.0</v>
      </c>
      <c r="B518" s="6">
        <v>0.15258105029830554</v>
      </c>
    </row>
    <row r="519">
      <c r="A519" s="3">
        <v>42157.0</v>
      </c>
      <c r="B519" s="6">
        <v>0.15258105029830554</v>
      </c>
    </row>
    <row r="520">
      <c r="A520" s="3">
        <v>42158.0</v>
      </c>
      <c r="B520" s="6">
        <v>0.15258105029830554</v>
      </c>
    </row>
    <row r="521">
      <c r="A521" s="3">
        <v>42159.0</v>
      </c>
      <c r="B521" s="6">
        <v>0.15258105029830554</v>
      </c>
    </row>
    <row r="522">
      <c r="A522" s="3">
        <v>42160.0</v>
      </c>
      <c r="B522" s="6">
        <v>0.15258105029830554</v>
      </c>
    </row>
    <row r="523">
      <c r="A523" s="3">
        <v>42161.0</v>
      </c>
      <c r="B523" s="6">
        <v>0.15258105029830554</v>
      </c>
    </row>
    <row r="524">
      <c r="A524" s="3">
        <v>42162.0</v>
      </c>
      <c r="B524" s="6">
        <v>0.15258105029830554</v>
      </c>
    </row>
    <row r="525">
      <c r="A525" s="3">
        <v>42163.0</v>
      </c>
      <c r="B525" s="6">
        <v>0.15258105029830554</v>
      </c>
    </row>
    <row r="526">
      <c r="A526" s="3">
        <v>42164.0</v>
      </c>
      <c r="B526" s="6">
        <v>0.15258105029830554</v>
      </c>
    </row>
    <row r="527">
      <c r="A527" s="3">
        <v>42165.0</v>
      </c>
      <c r="B527" s="6">
        <v>0.15258105029830554</v>
      </c>
    </row>
    <row r="528">
      <c r="A528" s="3">
        <v>42166.0</v>
      </c>
      <c r="B528" s="6">
        <v>0.15258105029830554</v>
      </c>
    </row>
    <row r="529">
      <c r="A529" s="3">
        <v>42167.0</v>
      </c>
      <c r="B529" s="6">
        <v>0.15258105029830554</v>
      </c>
    </row>
    <row r="530">
      <c r="A530" s="3">
        <v>42168.0</v>
      </c>
      <c r="B530" s="6">
        <v>0.15258105029830554</v>
      </c>
    </row>
    <row r="531">
      <c r="A531" s="3">
        <v>42169.0</v>
      </c>
      <c r="B531" s="6">
        <v>0.15258105029830554</v>
      </c>
    </row>
    <row r="532">
      <c r="A532" s="3">
        <v>42170.0</v>
      </c>
      <c r="B532" s="6">
        <v>0.15258105029830554</v>
      </c>
    </row>
    <row r="533">
      <c r="A533" s="3">
        <v>42171.0</v>
      </c>
      <c r="B533" s="6">
        <v>0.15258105029830554</v>
      </c>
    </row>
    <row r="534">
      <c r="A534" s="3">
        <v>42172.0</v>
      </c>
      <c r="B534" s="6">
        <v>0.15258105029830554</v>
      </c>
    </row>
    <row r="535">
      <c r="A535" s="3">
        <v>42173.0</v>
      </c>
      <c r="B535" s="6">
        <v>0.15258105029830554</v>
      </c>
    </row>
    <row r="536">
      <c r="A536" s="3">
        <v>42174.0</v>
      </c>
      <c r="B536" s="6">
        <v>0.15258105029830554</v>
      </c>
    </row>
    <row r="537">
      <c r="A537" s="3">
        <v>42175.0</v>
      </c>
      <c r="B537" s="6">
        <v>0.15258105029830554</v>
      </c>
    </row>
    <row r="538">
      <c r="A538" s="3">
        <v>42176.0</v>
      </c>
      <c r="B538" s="6">
        <v>0.15258105029830554</v>
      </c>
    </row>
    <row r="539">
      <c r="A539" s="3">
        <v>42177.0</v>
      </c>
      <c r="B539" s="6">
        <v>0.15258105029830554</v>
      </c>
    </row>
    <row r="540">
      <c r="A540" s="3">
        <v>42178.0</v>
      </c>
      <c r="B540" s="6">
        <v>0.15258105029830554</v>
      </c>
    </row>
    <row r="541">
      <c r="A541" s="3">
        <v>42179.0</v>
      </c>
      <c r="B541" s="6">
        <v>0.15258105029830554</v>
      </c>
    </row>
    <row r="542">
      <c r="A542" s="3">
        <v>42180.0</v>
      </c>
      <c r="B542" s="6">
        <v>0.15258105029830554</v>
      </c>
    </row>
    <row r="543">
      <c r="A543" s="3">
        <v>42181.0</v>
      </c>
      <c r="B543" s="6">
        <v>0.15258105029830554</v>
      </c>
    </row>
    <row r="544">
      <c r="A544" s="3">
        <v>42182.0</v>
      </c>
      <c r="B544" s="6">
        <v>0.15258105029830554</v>
      </c>
    </row>
    <row r="545">
      <c r="A545" s="3">
        <v>42183.0</v>
      </c>
      <c r="B545" s="6">
        <v>0.15258105029830554</v>
      </c>
    </row>
    <row r="546">
      <c r="A546" s="3">
        <v>42184.0</v>
      </c>
      <c r="B546" s="6">
        <v>0.15258105029830554</v>
      </c>
    </row>
    <row r="547">
      <c r="A547" s="3">
        <v>42185.0</v>
      </c>
      <c r="B547" s="6">
        <v>0.15258105029830554</v>
      </c>
    </row>
    <row r="548">
      <c r="A548" s="3">
        <v>42186.0</v>
      </c>
      <c r="B548" s="6">
        <v>0.15974229646212243</v>
      </c>
    </row>
    <row r="549">
      <c r="A549" s="3">
        <v>42187.0</v>
      </c>
      <c r="B549" s="6">
        <v>0.15974229646212243</v>
      </c>
    </row>
    <row r="550">
      <c r="A550" s="3">
        <v>42188.0</v>
      </c>
      <c r="B550" s="6">
        <v>0.15974229646212243</v>
      </c>
    </row>
    <row r="551">
      <c r="A551" s="3">
        <v>42189.0</v>
      </c>
      <c r="B551" s="6">
        <v>0.15974229646212243</v>
      </c>
    </row>
    <row r="552">
      <c r="A552" s="3">
        <v>42190.0</v>
      </c>
      <c r="B552" s="6">
        <v>0.15974229646212243</v>
      </c>
    </row>
    <row r="553">
      <c r="A553" s="3">
        <v>42191.0</v>
      </c>
      <c r="B553" s="6">
        <v>0.15974229646212243</v>
      </c>
    </row>
    <row r="554">
      <c r="A554" s="3">
        <v>42192.0</v>
      </c>
      <c r="B554" s="6">
        <v>0.15974229646212243</v>
      </c>
    </row>
    <row r="555">
      <c r="A555" s="3">
        <v>42193.0</v>
      </c>
      <c r="B555" s="6">
        <v>0.15974229646212243</v>
      </c>
    </row>
    <row r="556">
      <c r="A556" s="3">
        <v>42194.0</v>
      </c>
      <c r="B556" s="6">
        <v>0.15974229646212243</v>
      </c>
    </row>
    <row r="557">
      <c r="A557" s="3">
        <v>42195.0</v>
      </c>
      <c r="B557" s="6">
        <v>0.15974229646212243</v>
      </c>
    </row>
    <row r="558">
      <c r="A558" s="3">
        <v>42196.0</v>
      </c>
      <c r="B558" s="6">
        <v>0.15974229646212243</v>
      </c>
    </row>
    <row r="559">
      <c r="A559" s="3">
        <v>42197.0</v>
      </c>
      <c r="B559" s="6">
        <v>0.15974229646212243</v>
      </c>
    </row>
    <row r="560">
      <c r="A560" s="3">
        <v>42198.0</v>
      </c>
      <c r="B560" s="6">
        <v>0.15974229646212243</v>
      </c>
    </row>
    <row r="561">
      <c r="A561" s="3">
        <v>42199.0</v>
      </c>
      <c r="B561" s="6">
        <v>0.15974229646212243</v>
      </c>
    </row>
    <row r="562">
      <c r="A562" s="3">
        <v>42200.0</v>
      </c>
      <c r="B562" s="6">
        <v>0.15974229646212243</v>
      </c>
    </row>
    <row r="563">
      <c r="A563" s="3">
        <v>42201.0</v>
      </c>
      <c r="B563" s="6">
        <v>0.15974229646212243</v>
      </c>
    </row>
    <row r="564">
      <c r="A564" s="3">
        <v>42202.0</v>
      </c>
      <c r="B564" s="6">
        <v>0.15974229646212243</v>
      </c>
    </row>
    <row r="565">
      <c r="A565" s="3">
        <v>42203.0</v>
      </c>
      <c r="B565" s="6">
        <v>0.15974229646212243</v>
      </c>
    </row>
    <row r="566">
      <c r="A566" s="3">
        <v>42204.0</v>
      </c>
      <c r="B566" s="6">
        <v>0.15974229646212243</v>
      </c>
    </row>
    <row r="567">
      <c r="A567" s="3">
        <v>42205.0</v>
      </c>
      <c r="B567" s="6">
        <v>0.15974229646212243</v>
      </c>
    </row>
    <row r="568">
      <c r="A568" s="3">
        <v>42206.0</v>
      </c>
      <c r="B568" s="6">
        <v>0.15974229646212243</v>
      </c>
    </row>
    <row r="569">
      <c r="A569" s="3">
        <v>42207.0</v>
      </c>
      <c r="B569" s="6">
        <v>0.15974229646212243</v>
      </c>
    </row>
    <row r="570">
      <c r="A570" s="3">
        <v>42208.0</v>
      </c>
      <c r="B570" s="6">
        <v>0.15974229646212243</v>
      </c>
    </row>
    <row r="571">
      <c r="A571" s="3">
        <v>42209.0</v>
      </c>
      <c r="B571" s="6">
        <v>0.15974229646212243</v>
      </c>
    </row>
    <row r="572">
      <c r="A572" s="3">
        <v>42210.0</v>
      </c>
      <c r="B572" s="6">
        <v>0.15974229646212243</v>
      </c>
    </row>
    <row r="573">
      <c r="A573" s="3">
        <v>42211.0</v>
      </c>
      <c r="B573" s="6">
        <v>0.15974229646212243</v>
      </c>
    </row>
    <row r="574">
      <c r="A574" s="3">
        <v>42212.0</v>
      </c>
      <c r="B574" s="6">
        <v>0.15974229646212243</v>
      </c>
    </row>
    <row r="575">
      <c r="A575" s="3">
        <v>42213.0</v>
      </c>
      <c r="B575" s="6">
        <v>0.15974229646212243</v>
      </c>
    </row>
    <row r="576">
      <c r="A576" s="3">
        <v>42214.0</v>
      </c>
      <c r="B576" s="6">
        <v>0.15974229646212243</v>
      </c>
    </row>
    <row r="577">
      <c r="A577" s="3">
        <v>42215.0</v>
      </c>
      <c r="B577" s="6">
        <v>0.15974229646212243</v>
      </c>
    </row>
    <row r="578">
      <c r="A578" s="3">
        <v>42216.0</v>
      </c>
      <c r="B578" s="6">
        <v>0.15974229646212243</v>
      </c>
    </row>
    <row r="579">
      <c r="A579" s="3">
        <v>42217.0</v>
      </c>
      <c r="B579" s="6">
        <v>0.15974229646212243</v>
      </c>
    </row>
    <row r="580">
      <c r="A580" s="3">
        <v>42218.0</v>
      </c>
      <c r="B580" s="6">
        <v>0.15974229646212243</v>
      </c>
    </row>
    <row r="581">
      <c r="A581" s="3">
        <v>42219.0</v>
      </c>
      <c r="B581" s="6">
        <v>0.15974229646212243</v>
      </c>
    </row>
    <row r="582">
      <c r="A582" s="3">
        <v>42220.0</v>
      </c>
      <c r="B582" s="6">
        <v>0.15974229646212243</v>
      </c>
    </row>
    <row r="583">
      <c r="A583" s="3">
        <v>42221.0</v>
      </c>
      <c r="B583" s="6">
        <v>0.15974229646212243</v>
      </c>
    </row>
    <row r="584">
      <c r="A584" s="3">
        <v>42222.0</v>
      </c>
      <c r="B584" s="6">
        <v>0.15974229646212243</v>
      </c>
    </row>
    <row r="585">
      <c r="A585" s="3">
        <v>42223.0</v>
      </c>
      <c r="B585" s="6">
        <v>0.15974229646212243</v>
      </c>
    </row>
    <row r="586">
      <c r="A586" s="3">
        <v>42224.0</v>
      </c>
      <c r="B586" s="6">
        <v>0.15974229646212243</v>
      </c>
    </row>
    <row r="587">
      <c r="A587" s="3">
        <v>42225.0</v>
      </c>
      <c r="B587" s="6">
        <v>0.15974229646212243</v>
      </c>
    </row>
    <row r="588">
      <c r="A588" s="3">
        <v>42226.0</v>
      </c>
      <c r="B588" s="6">
        <v>0.15974229646212243</v>
      </c>
    </row>
    <row r="589">
      <c r="A589" s="3">
        <v>42227.0</v>
      </c>
      <c r="B589" s="6">
        <v>0.15974229646212243</v>
      </c>
    </row>
    <row r="590">
      <c r="A590" s="3">
        <v>42228.0</v>
      </c>
      <c r="B590" s="6">
        <v>0.15974229646212243</v>
      </c>
    </row>
    <row r="591">
      <c r="A591" s="3">
        <v>42229.0</v>
      </c>
      <c r="B591" s="6">
        <v>0.15974229646212243</v>
      </c>
    </row>
    <row r="592">
      <c r="A592" s="3">
        <v>42230.0</v>
      </c>
      <c r="B592" s="6">
        <v>0.15974229646212243</v>
      </c>
    </row>
    <row r="593">
      <c r="A593" s="3">
        <v>42231.0</v>
      </c>
      <c r="B593" s="6">
        <v>0.15974229646212243</v>
      </c>
    </row>
    <row r="594">
      <c r="A594" s="3">
        <v>42232.0</v>
      </c>
      <c r="B594" s="6">
        <v>0.15974229646212243</v>
      </c>
    </row>
    <row r="595">
      <c r="A595" s="3">
        <v>42233.0</v>
      </c>
      <c r="B595" s="6">
        <v>0.15974229646212243</v>
      </c>
    </row>
    <row r="596">
      <c r="A596" s="3">
        <v>42234.0</v>
      </c>
      <c r="B596" s="6">
        <v>0.15974229646212243</v>
      </c>
    </row>
    <row r="597">
      <c r="A597" s="3">
        <v>42235.0</v>
      </c>
      <c r="B597" s="6">
        <v>0.15974229646212243</v>
      </c>
    </row>
    <row r="598">
      <c r="A598" s="3">
        <v>42236.0</v>
      </c>
      <c r="B598" s="6">
        <v>0.15974229646212243</v>
      </c>
    </row>
    <row r="599">
      <c r="A599" s="3">
        <v>42237.0</v>
      </c>
      <c r="B599" s="6">
        <v>0.15974229646212243</v>
      </c>
    </row>
    <row r="600">
      <c r="A600" s="3">
        <v>42238.0</v>
      </c>
      <c r="B600" s="6">
        <v>0.15974229646212243</v>
      </c>
    </row>
    <row r="601">
      <c r="A601" s="3">
        <v>42239.0</v>
      </c>
      <c r="B601" s="6">
        <v>0.15974229646212243</v>
      </c>
    </row>
    <row r="602">
      <c r="A602" s="3">
        <v>42240.0</v>
      </c>
      <c r="B602" s="6">
        <v>0.15974229646212243</v>
      </c>
    </row>
    <row r="603">
      <c r="A603" s="3">
        <v>42241.0</v>
      </c>
      <c r="B603" s="6">
        <v>0.15974229646212243</v>
      </c>
    </row>
    <row r="604">
      <c r="A604" s="3">
        <v>42242.0</v>
      </c>
      <c r="B604" s="6">
        <v>0.15974229646212243</v>
      </c>
    </row>
    <row r="605">
      <c r="A605" s="3">
        <v>42243.0</v>
      </c>
      <c r="B605" s="6">
        <v>0.15974229646212243</v>
      </c>
    </row>
    <row r="606">
      <c r="A606" s="3">
        <v>42244.0</v>
      </c>
      <c r="B606" s="6">
        <v>0.15974229646212243</v>
      </c>
    </row>
    <row r="607">
      <c r="A607" s="3">
        <v>42245.0</v>
      </c>
      <c r="B607" s="6">
        <v>0.15974229646212243</v>
      </c>
    </row>
    <row r="608">
      <c r="A608" s="3">
        <v>42246.0</v>
      </c>
      <c r="B608" s="6">
        <v>0.15974229646212243</v>
      </c>
    </row>
    <row r="609">
      <c r="A609" s="3">
        <v>42247.0</v>
      </c>
      <c r="B609" s="6">
        <v>0.15974229646212243</v>
      </c>
    </row>
    <row r="610">
      <c r="A610" s="3">
        <v>42248.0</v>
      </c>
      <c r="B610" s="6">
        <v>0.15974229646212243</v>
      </c>
    </row>
    <row r="611">
      <c r="A611" s="3">
        <v>42249.0</v>
      </c>
      <c r="B611" s="6">
        <v>0.15974229646212243</v>
      </c>
    </row>
    <row r="612">
      <c r="A612" s="3">
        <v>42250.0</v>
      </c>
      <c r="B612" s="6">
        <v>0.15974229646212243</v>
      </c>
    </row>
    <row r="613">
      <c r="A613" s="3">
        <v>42251.0</v>
      </c>
      <c r="B613" s="6">
        <v>0.15974229646212243</v>
      </c>
    </row>
    <row r="614">
      <c r="A614" s="3">
        <v>42252.0</v>
      </c>
      <c r="B614" s="6">
        <v>0.15974229646212243</v>
      </c>
    </row>
    <row r="615">
      <c r="A615" s="3">
        <v>42253.0</v>
      </c>
      <c r="B615" s="6">
        <v>0.15974229646212243</v>
      </c>
    </row>
    <row r="616">
      <c r="A616" s="3">
        <v>42254.0</v>
      </c>
      <c r="B616" s="6">
        <v>0.15974229646212243</v>
      </c>
    </row>
    <row r="617">
      <c r="A617" s="3">
        <v>42255.0</v>
      </c>
      <c r="B617" s="6">
        <v>0.15974229646212243</v>
      </c>
    </row>
    <row r="618">
      <c r="A618" s="3">
        <v>42256.0</v>
      </c>
      <c r="B618" s="6">
        <v>0.15974229646212243</v>
      </c>
    </row>
    <row r="619">
      <c r="A619" s="3">
        <v>42257.0</v>
      </c>
      <c r="B619" s="6">
        <v>0.15974229646212243</v>
      </c>
    </row>
    <row r="620">
      <c r="A620" s="3">
        <v>42258.0</v>
      </c>
      <c r="B620" s="6">
        <v>0.15974229646212243</v>
      </c>
    </row>
    <row r="621">
      <c r="A621" s="3">
        <v>42259.0</v>
      </c>
      <c r="B621" s="6">
        <v>0.15974229646212243</v>
      </c>
    </row>
    <row r="622">
      <c r="A622" s="3">
        <v>42260.0</v>
      </c>
      <c r="B622" s="6">
        <v>0.15974229646212243</v>
      </c>
    </row>
    <row r="623">
      <c r="A623" s="3">
        <v>42261.0</v>
      </c>
      <c r="B623" s="6">
        <v>0.15974229646212243</v>
      </c>
    </row>
    <row r="624">
      <c r="A624" s="3">
        <v>42262.0</v>
      </c>
      <c r="B624" s="6">
        <v>0.15974229646212243</v>
      </c>
    </row>
    <row r="625">
      <c r="A625" s="3">
        <v>42263.0</v>
      </c>
      <c r="B625" s="6">
        <v>0.15974229646212243</v>
      </c>
    </row>
    <row r="626">
      <c r="A626" s="3">
        <v>42264.0</v>
      </c>
      <c r="B626" s="6">
        <v>0.15974229646212243</v>
      </c>
    </row>
    <row r="627">
      <c r="A627" s="3">
        <v>42265.0</v>
      </c>
      <c r="B627" s="6">
        <v>0.15974229646212243</v>
      </c>
    </row>
    <row r="628">
      <c r="A628" s="3">
        <v>42266.0</v>
      </c>
      <c r="B628" s="6">
        <v>0.15974229646212243</v>
      </c>
    </row>
    <row r="629">
      <c r="A629" s="3">
        <v>42267.0</v>
      </c>
      <c r="B629" s="6">
        <v>0.15974229646212243</v>
      </c>
    </row>
    <row r="630">
      <c r="A630" s="3">
        <v>42268.0</v>
      </c>
      <c r="B630" s="6">
        <v>0.15974229646212243</v>
      </c>
    </row>
    <row r="631">
      <c r="A631" s="3">
        <v>42269.0</v>
      </c>
      <c r="B631" s="6">
        <v>0.15974229646212243</v>
      </c>
    </row>
    <row r="632">
      <c r="A632" s="3">
        <v>42270.0</v>
      </c>
      <c r="B632" s="6">
        <v>0.15974229646212243</v>
      </c>
    </row>
    <row r="633">
      <c r="A633" s="3">
        <v>42271.0</v>
      </c>
      <c r="B633" s="6">
        <v>0.15974229646212243</v>
      </c>
    </row>
    <row r="634">
      <c r="A634" s="3">
        <v>42272.0</v>
      </c>
      <c r="B634" s="6">
        <v>0.15974229646212243</v>
      </c>
    </row>
    <row r="635">
      <c r="A635" s="3">
        <v>42273.0</v>
      </c>
      <c r="B635" s="6">
        <v>0.15974229646212243</v>
      </c>
    </row>
    <row r="636">
      <c r="A636" s="3">
        <v>42274.0</v>
      </c>
      <c r="B636" s="6">
        <v>0.15974229646212243</v>
      </c>
    </row>
    <row r="637">
      <c r="A637" s="3">
        <v>42275.0</v>
      </c>
      <c r="B637" s="6">
        <v>0.15974229646212243</v>
      </c>
    </row>
    <row r="638">
      <c r="A638" s="3">
        <v>42276.0</v>
      </c>
      <c r="B638" s="6">
        <v>0.15974229646212243</v>
      </c>
    </row>
    <row r="639">
      <c r="A639" s="3">
        <v>42277.0</v>
      </c>
      <c r="B639" s="6">
        <v>0.15974229646212243</v>
      </c>
    </row>
    <row r="640">
      <c r="A640" s="3">
        <v>42278.0</v>
      </c>
      <c r="B640" s="6">
        <v>0.15974229646212243</v>
      </c>
    </row>
    <row r="641">
      <c r="A641" s="3">
        <v>42279.0</v>
      </c>
      <c r="B641" s="6">
        <v>0.15974229646212243</v>
      </c>
    </row>
    <row r="642">
      <c r="A642" s="3">
        <v>42280.0</v>
      </c>
      <c r="B642" s="6">
        <v>0.15974229646212243</v>
      </c>
    </row>
    <row r="643">
      <c r="A643" s="3">
        <v>42281.0</v>
      </c>
      <c r="B643" s="6">
        <v>0.15974229646212243</v>
      </c>
    </row>
    <row r="644">
      <c r="A644" s="3">
        <v>42282.0</v>
      </c>
      <c r="B644" s="6">
        <v>0.15974229646212243</v>
      </c>
    </row>
    <row r="645">
      <c r="A645" s="3">
        <v>42283.0</v>
      </c>
      <c r="B645" s="6">
        <v>0.15974229646212243</v>
      </c>
    </row>
    <row r="646">
      <c r="A646" s="3">
        <v>42284.0</v>
      </c>
      <c r="B646" s="6">
        <v>0.15974229646212243</v>
      </c>
    </row>
    <row r="647">
      <c r="A647" s="3">
        <v>42285.0</v>
      </c>
      <c r="B647" s="6">
        <v>0.15974229646212243</v>
      </c>
    </row>
    <row r="648">
      <c r="A648" s="3">
        <v>42286.0</v>
      </c>
      <c r="B648" s="6">
        <v>0.15974229646212243</v>
      </c>
    </row>
    <row r="649">
      <c r="A649" s="3">
        <v>42287.0</v>
      </c>
      <c r="B649" s="6">
        <v>0.15974229646212243</v>
      </c>
    </row>
    <row r="650">
      <c r="A650" s="3">
        <v>42288.0</v>
      </c>
      <c r="B650" s="6">
        <v>0.15974229646212243</v>
      </c>
    </row>
    <row r="651">
      <c r="A651" s="3">
        <v>42289.0</v>
      </c>
      <c r="B651" s="6">
        <v>0.15974229646212243</v>
      </c>
    </row>
    <row r="652">
      <c r="A652" s="3">
        <v>42290.0</v>
      </c>
      <c r="B652" s="6">
        <v>0.15974229646212243</v>
      </c>
    </row>
    <row r="653">
      <c r="A653" s="3">
        <v>42291.0</v>
      </c>
      <c r="B653" s="6">
        <v>0.15974229646212243</v>
      </c>
    </row>
    <row r="654">
      <c r="A654" s="3">
        <v>42292.0</v>
      </c>
      <c r="B654" s="6">
        <v>0.15974229646212243</v>
      </c>
    </row>
    <row r="655">
      <c r="A655" s="3">
        <v>42293.0</v>
      </c>
      <c r="B655" s="6">
        <v>0.15974229646212243</v>
      </c>
    </row>
    <row r="656">
      <c r="A656" s="3">
        <v>42294.0</v>
      </c>
      <c r="B656" s="6">
        <v>0.15974229646212243</v>
      </c>
    </row>
    <row r="657">
      <c r="A657" s="3">
        <v>42295.0</v>
      </c>
      <c r="B657" s="6">
        <v>0.15974229646212243</v>
      </c>
    </row>
    <row r="658">
      <c r="A658" s="3">
        <v>42296.0</v>
      </c>
      <c r="B658" s="6">
        <v>0.15974229646212243</v>
      </c>
    </row>
    <row r="659">
      <c r="A659" s="3">
        <v>42297.0</v>
      </c>
      <c r="B659" s="6">
        <v>0.15974229646212243</v>
      </c>
    </row>
    <row r="660">
      <c r="A660" s="3">
        <v>42298.0</v>
      </c>
      <c r="B660" s="6">
        <v>0.15974229646212243</v>
      </c>
    </row>
    <row r="661">
      <c r="A661" s="3">
        <v>42299.0</v>
      </c>
      <c r="B661" s="6">
        <v>0.15974229646212243</v>
      </c>
    </row>
    <row r="662">
      <c r="A662" s="3">
        <v>42300.0</v>
      </c>
      <c r="B662" s="6">
        <v>0.15974229646212243</v>
      </c>
    </row>
    <row r="663">
      <c r="A663" s="3">
        <v>42301.0</v>
      </c>
      <c r="B663" s="6">
        <v>0.15974229646212243</v>
      </c>
    </row>
    <row r="664">
      <c r="A664" s="3">
        <v>42302.0</v>
      </c>
      <c r="B664" s="6">
        <v>0.15974229646212243</v>
      </c>
    </row>
    <row r="665">
      <c r="A665" s="3">
        <v>42303.0</v>
      </c>
      <c r="B665" s="6">
        <v>0.15974229646212243</v>
      </c>
    </row>
    <row r="666">
      <c r="A666" s="3">
        <v>42304.0</v>
      </c>
      <c r="B666" s="6">
        <v>0.15974229646212243</v>
      </c>
    </row>
    <row r="667">
      <c r="A667" s="3">
        <v>42305.0</v>
      </c>
      <c r="B667" s="6">
        <v>0.15974229646212243</v>
      </c>
    </row>
    <row r="668">
      <c r="A668" s="3">
        <v>42306.0</v>
      </c>
      <c r="B668" s="6">
        <v>0.15974229646212243</v>
      </c>
    </row>
    <row r="669">
      <c r="A669" s="3">
        <v>42307.0</v>
      </c>
      <c r="B669" s="6">
        <v>0.15974229646212243</v>
      </c>
    </row>
    <row r="670">
      <c r="A670" s="3">
        <v>42308.0</v>
      </c>
      <c r="B670" s="6">
        <v>0.15974229646212243</v>
      </c>
    </row>
    <row r="671">
      <c r="A671" s="3">
        <v>42309.0</v>
      </c>
      <c r="B671" s="6">
        <v>0.15974229646212243</v>
      </c>
    </row>
    <row r="672">
      <c r="A672" s="3">
        <v>42310.0</v>
      </c>
      <c r="B672" s="6">
        <v>0.15974229646212243</v>
      </c>
    </row>
    <row r="673">
      <c r="A673" s="3">
        <v>42311.0</v>
      </c>
      <c r="B673" s="6">
        <v>0.15974229646212243</v>
      </c>
    </row>
    <row r="674">
      <c r="A674" s="3">
        <v>42312.0</v>
      </c>
      <c r="B674" s="6">
        <v>0.15974229646212243</v>
      </c>
    </row>
    <row r="675">
      <c r="A675" s="3">
        <v>42313.0</v>
      </c>
      <c r="B675" s="6">
        <v>0.15974229646212243</v>
      </c>
    </row>
    <row r="676">
      <c r="A676" s="3">
        <v>42314.0</v>
      </c>
      <c r="B676" s="6">
        <v>0.15974229646212243</v>
      </c>
    </row>
    <row r="677">
      <c r="A677" s="3">
        <v>42315.0</v>
      </c>
      <c r="B677" s="6">
        <v>0.15974229646212243</v>
      </c>
    </row>
    <row r="678">
      <c r="A678" s="3">
        <v>42316.0</v>
      </c>
      <c r="B678" s="6">
        <v>0.15974229646212243</v>
      </c>
    </row>
    <row r="679">
      <c r="A679" s="3">
        <v>42317.0</v>
      </c>
      <c r="B679" s="6">
        <v>0.15974229646212243</v>
      </c>
    </row>
    <row r="680">
      <c r="A680" s="3">
        <v>42318.0</v>
      </c>
      <c r="B680" s="6">
        <v>0.15974229646212243</v>
      </c>
    </row>
    <row r="681">
      <c r="A681" s="3">
        <v>42319.0</v>
      </c>
      <c r="B681" s="6">
        <v>0.15974229646212243</v>
      </c>
    </row>
    <row r="682">
      <c r="A682" s="3">
        <v>42320.0</v>
      </c>
      <c r="B682" s="6">
        <v>0.15974229646212243</v>
      </c>
    </row>
    <row r="683">
      <c r="A683" s="3">
        <v>42321.0</v>
      </c>
      <c r="B683" s="6">
        <v>0.15974229646212243</v>
      </c>
    </row>
    <row r="684">
      <c r="A684" s="3">
        <v>42322.0</v>
      </c>
      <c r="B684" s="6">
        <v>0.15974229646212243</v>
      </c>
    </row>
    <row r="685">
      <c r="A685" s="3">
        <v>42323.0</v>
      </c>
      <c r="B685" s="6">
        <v>0.15974229646212243</v>
      </c>
    </row>
    <row r="686">
      <c r="A686" s="3">
        <v>42324.0</v>
      </c>
      <c r="B686" s="6">
        <v>0.15974229646212243</v>
      </c>
    </row>
    <row r="687">
      <c r="A687" s="3">
        <v>42325.0</v>
      </c>
      <c r="B687" s="6">
        <v>0.15974229646212243</v>
      </c>
    </row>
    <row r="688">
      <c r="A688" s="3">
        <v>42326.0</v>
      </c>
      <c r="B688" s="6">
        <v>0.15974229646212243</v>
      </c>
    </row>
    <row r="689">
      <c r="A689" s="3">
        <v>42327.0</v>
      </c>
      <c r="B689" s="6">
        <v>0.15974229646212243</v>
      </c>
    </row>
    <row r="690">
      <c r="A690" s="3">
        <v>42328.0</v>
      </c>
      <c r="B690" s="6">
        <v>0.15974229646212243</v>
      </c>
    </row>
    <row r="691">
      <c r="A691" s="3">
        <v>42329.0</v>
      </c>
      <c r="B691" s="6">
        <v>0.15974229646212243</v>
      </c>
    </row>
    <row r="692">
      <c r="A692" s="3">
        <v>42330.0</v>
      </c>
      <c r="B692" s="6">
        <v>0.15974229646212243</v>
      </c>
    </row>
    <row r="693">
      <c r="A693" s="3">
        <v>42331.0</v>
      </c>
      <c r="B693" s="6">
        <v>0.15974229646212243</v>
      </c>
    </row>
    <row r="694">
      <c r="A694" s="3">
        <v>42332.0</v>
      </c>
      <c r="B694" s="6">
        <v>0.15974229646212243</v>
      </c>
    </row>
    <row r="695">
      <c r="A695" s="3">
        <v>42333.0</v>
      </c>
      <c r="B695" s="6">
        <v>0.15974229646212243</v>
      </c>
    </row>
    <row r="696">
      <c r="A696" s="3">
        <v>42334.0</v>
      </c>
      <c r="B696" s="6">
        <v>0.15974229646212243</v>
      </c>
    </row>
    <row r="697">
      <c r="A697" s="3">
        <v>42335.0</v>
      </c>
      <c r="B697" s="6">
        <v>0.15974229646212243</v>
      </c>
    </row>
    <row r="698">
      <c r="A698" s="3">
        <v>42336.0</v>
      </c>
      <c r="B698" s="6">
        <v>0.15974229646212243</v>
      </c>
    </row>
    <row r="699">
      <c r="A699" s="3">
        <v>42337.0</v>
      </c>
      <c r="B699" s="6">
        <v>0.15974229646212243</v>
      </c>
    </row>
    <row r="700">
      <c r="A700" s="3">
        <v>42338.0</v>
      </c>
      <c r="B700" s="6">
        <v>0.15974229646212243</v>
      </c>
    </row>
    <row r="701">
      <c r="A701" s="3">
        <v>42339.0</v>
      </c>
      <c r="B701" s="6">
        <v>0.15974229646212243</v>
      </c>
    </row>
    <row r="702">
      <c r="A702" s="3">
        <v>42340.0</v>
      </c>
      <c r="B702" s="6">
        <v>0.15974229646212243</v>
      </c>
    </row>
    <row r="703">
      <c r="A703" s="3">
        <v>42341.0</v>
      </c>
      <c r="B703" s="6">
        <v>0.15974229646212243</v>
      </c>
    </row>
    <row r="704">
      <c r="A704" s="3">
        <v>42342.0</v>
      </c>
      <c r="B704" s="6">
        <v>0.15974229646212243</v>
      </c>
    </row>
    <row r="705">
      <c r="A705" s="3">
        <v>42343.0</v>
      </c>
      <c r="B705" s="6">
        <v>0.15974229646212243</v>
      </c>
    </row>
    <row r="706">
      <c r="A706" s="3">
        <v>42344.0</v>
      </c>
      <c r="B706" s="6">
        <v>0.15974229646212243</v>
      </c>
    </row>
    <row r="707">
      <c r="A707" s="3">
        <v>42345.0</v>
      </c>
      <c r="B707" s="6">
        <v>0.15974229646212243</v>
      </c>
    </row>
    <row r="708">
      <c r="A708" s="3">
        <v>42346.0</v>
      </c>
      <c r="B708" s="6">
        <v>0.15974229646212243</v>
      </c>
    </row>
    <row r="709">
      <c r="A709" s="3">
        <v>42347.0</v>
      </c>
      <c r="B709" s="6">
        <v>0.15974229646212243</v>
      </c>
    </row>
    <row r="710">
      <c r="A710" s="3">
        <v>42348.0</v>
      </c>
      <c r="B710" s="6">
        <v>0.15974229646212243</v>
      </c>
    </row>
    <row r="711">
      <c r="A711" s="3">
        <v>42349.0</v>
      </c>
      <c r="B711" s="6">
        <v>0.15974229646212243</v>
      </c>
    </row>
    <row r="712">
      <c r="A712" s="3">
        <v>42350.0</v>
      </c>
      <c r="B712" s="6">
        <v>0.15974229646212243</v>
      </c>
    </row>
    <row r="713">
      <c r="A713" s="3">
        <v>42351.0</v>
      </c>
      <c r="B713" s="6">
        <v>0.15974229646212243</v>
      </c>
    </row>
    <row r="714">
      <c r="A714" s="3">
        <v>42352.0</v>
      </c>
      <c r="B714" s="6">
        <v>0.15974229646212243</v>
      </c>
    </row>
    <row r="715">
      <c r="A715" s="3">
        <v>42353.0</v>
      </c>
      <c r="B715" s="6">
        <v>0.15974229646212243</v>
      </c>
    </row>
    <row r="716">
      <c r="A716" s="3">
        <v>42354.0</v>
      </c>
      <c r="B716" s="6">
        <v>0.15974229646212243</v>
      </c>
    </row>
    <row r="717">
      <c r="A717" s="3">
        <v>42355.0</v>
      </c>
      <c r="B717" s="6">
        <v>0.15974229646212243</v>
      </c>
    </row>
    <row r="718">
      <c r="A718" s="3">
        <v>42356.0</v>
      </c>
      <c r="B718" s="6">
        <v>0.15974229646212243</v>
      </c>
    </row>
    <row r="719">
      <c r="A719" s="3">
        <v>42357.0</v>
      </c>
      <c r="B719" s="6">
        <v>0.15974229646212243</v>
      </c>
    </row>
    <row r="720">
      <c r="A720" s="3">
        <v>42358.0</v>
      </c>
      <c r="B720" s="6">
        <v>0.15974229646212243</v>
      </c>
    </row>
    <row r="721">
      <c r="A721" s="3">
        <v>42359.0</v>
      </c>
      <c r="B721" s="6">
        <v>0.15974229646212243</v>
      </c>
    </row>
    <row r="722">
      <c r="A722" s="3">
        <v>42360.0</v>
      </c>
      <c r="B722" s="6">
        <v>0.15974229646212243</v>
      </c>
    </row>
    <row r="723">
      <c r="A723" s="3">
        <v>42361.0</v>
      </c>
      <c r="B723" s="6">
        <v>0.15974229646212243</v>
      </c>
    </row>
    <row r="724">
      <c r="A724" s="3">
        <v>42362.0</v>
      </c>
      <c r="B724" s="6">
        <v>0.15974229646212243</v>
      </c>
    </row>
    <row r="725">
      <c r="A725" s="3">
        <v>42363.0</v>
      </c>
      <c r="B725" s="6">
        <v>0.15974229646212243</v>
      </c>
    </row>
    <row r="726">
      <c r="A726" s="3">
        <v>42364.0</v>
      </c>
      <c r="B726" s="6">
        <v>0.15974229646212243</v>
      </c>
    </row>
    <row r="727">
      <c r="A727" s="3">
        <v>42365.0</v>
      </c>
      <c r="B727" s="6">
        <v>0.15974229646212243</v>
      </c>
    </row>
    <row r="728">
      <c r="A728" s="3">
        <v>42366.0</v>
      </c>
      <c r="B728" s="6">
        <v>0.15974229646212243</v>
      </c>
    </row>
    <row r="729">
      <c r="A729" s="3">
        <v>42367.0</v>
      </c>
      <c r="B729" s="6">
        <v>0.15974229646212243</v>
      </c>
    </row>
    <row r="730">
      <c r="A730" s="3">
        <v>42368.0</v>
      </c>
      <c r="B730" s="6">
        <v>0.15974229646212243</v>
      </c>
    </row>
    <row r="731">
      <c r="A731" s="3">
        <v>42369.0</v>
      </c>
      <c r="B731" s="6">
        <v>0.15974229646212243</v>
      </c>
    </row>
    <row r="732">
      <c r="A732" s="3">
        <v>42370.0</v>
      </c>
      <c r="B732" s="6">
        <v>0.14949812599130233</v>
      </c>
    </row>
    <row r="733">
      <c r="A733" s="3">
        <v>42371.0</v>
      </c>
      <c r="B733" s="6">
        <v>0.14949812599130233</v>
      </c>
    </row>
    <row r="734">
      <c r="A734" s="3">
        <v>42372.0</v>
      </c>
      <c r="B734" s="6">
        <v>0.14949812599130233</v>
      </c>
    </row>
    <row r="735">
      <c r="A735" s="3">
        <v>42373.0</v>
      </c>
      <c r="B735" s="6">
        <v>0.14949812599130233</v>
      </c>
    </row>
    <row r="736">
      <c r="A736" s="3">
        <v>42374.0</v>
      </c>
      <c r="B736" s="6">
        <v>0.14949812599130233</v>
      </c>
    </row>
    <row r="737">
      <c r="A737" s="3">
        <v>42375.0</v>
      </c>
      <c r="B737" s="6">
        <v>0.14949812599130233</v>
      </c>
    </row>
    <row r="738">
      <c r="A738" s="3">
        <v>42376.0</v>
      </c>
      <c r="B738" s="6">
        <v>0.14949812599130233</v>
      </c>
    </row>
    <row r="739">
      <c r="A739" s="3">
        <v>42377.0</v>
      </c>
      <c r="B739" s="6">
        <v>0.14949812599130233</v>
      </c>
    </row>
    <row r="740">
      <c r="A740" s="3">
        <v>42378.0</v>
      </c>
      <c r="B740" s="6">
        <v>0.14949812599130233</v>
      </c>
    </row>
    <row r="741">
      <c r="A741" s="3">
        <v>42379.0</v>
      </c>
      <c r="B741" s="6">
        <v>0.14949812599130233</v>
      </c>
    </row>
    <row r="742">
      <c r="A742" s="3">
        <v>42380.0</v>
      </c>
      <c r="B742" s="6">
        <v>0.14949812599130233</v>
      </c>
    </row>
    <row r="743">
      <c r="A743" s="3">
        <v>42381.0</v>
      </c>
      <c r="B743" s="6">
        <v>0.14949812599130233</v>
      </c>
    </row>
    <row r="744">
      <c r="A744" s="3">
        <v>42382.0</v>
      </c>
      <c r="B744" s="6">
        <v>0.14949812599130233</v>
      </c>
    </row>
    <row r="745">
      <c r="A745" s="3">
        <v>42383.0</v>
      </c>
      <c r="B745" s="6">
        <v>0.14949812599130233</v>
      </c>
    </row>
    <row r="746">
      <c r="A746" s="3">
        <v>42384.0</v>
      </c>
      <c r="B746" s="6">
        <v>0.14949812599130233</v>
      </c>
    </row>
    <row r="747">
      <c r="A747" s="3">
        <v>42385.0</v>
      </c>
      <c r="B747" s="6">
        <v>0.14949812599130233</v>
      </c>
    </row>
    <row r="748">
      <c r="A748" s="3">
        <v>42386.0</v>
      </c>
      <c r="B748" s="6">
        <v>0.14949812599130233</v>
      </c>
    </row>
    <row r="749">
      <c r="A749" s="3">
        <v>42387.0</v>
      </c>
      <c r="B749" s="6">
        <v>0.14949812599130233</v>
      </c>
    </row>
    <row r="750">
      <c r="A750" s="3">
        <v>42388.0</v>
      </c>
      <c r="B750" s="6">
        <v>0.14949812599130233</v>
      </c>
    </row>
    <row r="751">
      <c r="A751" s="3">
        <v>42389.0</v>
      </c>
      <c r="B751" s="6">
        <v>0.14949812599130233</v>
      </c>
    </row>
    <row r="752">
      <c r="A752" s="3">
        <v>42390.0</v>
      </c>
      <c r="B752" s="6">
        <v>0.14949812599130233</v>
      </c>
    </row>
    <row r="753">
      <c r="A753" s="3">
        <v>42391.0</v>
      </c>
      <c r="B753" s="6">
        <v>0.14949812599130233</v>
      </c>
    </row>
    <row r="754">
      <c r="A754" s="3">
        <v>42392.0</v>
      </c>
      <c r="B754" s="6">
        <v>0.14949812599130233</v>
      </c>
    </row>
    <row r="755">
      <c r="A755" s="3">
        <v>42393.0</v>
      </c>
      <c r="B755" s="6">
        <v>0.14949812599130233</v>
      </c>
    </row>
    <row r="756">
      <c r="A756" s="3">
        <v>42394.0</v>
      </c>
      <c r="B756" s="6">
        <v>0.14949812599130233</v>
      </c>
    </row>
    <row r="757">
      <c r="A757" s="3">
        <v>42395.0</v>
      </c>
      <c r="B757" s="6">
        <v>0.14949812599130233</v>
      </c>
    </row>
    <row r="758">
      <c r="A758" s="3">
        <v>42396.0</v>
      </c>
      <c r="B758" s="6">
        <v>0.14949812599130233</v>
      </c>
    </row>
    <row r="759">
      <c r="A759" s="3">
        <v>42397.0</v>
      </c>
      <c r="B759" s="6">
        <v>0.14949812599130233</v>
      </c>
    </row>
    <row r="760">
      <c r="A760" s="3">
        <v>42398.0</v>
      </c>
      <c r="B760" s="6">
        <v>0.14949812599130233</v>
      </c>
    </row>
    <row r="761">
      <c r="A761" s="3">
        <v>42399.0</v>
      </c>
      <c r="B761" s="6">
        <v>0.14949812599130233</v>
      </c>
    </row>
    <row r="762">
      <c r="A762" s="3">
        <v>42400.0</v>
      </c>
      <c r="B762" s="6">
        <v>0.14949812599130233</v>
      </c>
    </row>
    <row r="763">
      <c r="A763" s="3">
        <v>42401.0</v>
      </c>
      <c r="B763" s="6">
        <v>0.14949812599130233</v>
      </c>
    </row>
    <row r="764">
      <c r="A764" s="3">
        <v>42402.0</v>
      </c>
      <c r="B764" s="6">
        <v>0.14949812599130233</v>
      </c>
    </row>
    <row r="765">
      <c r="A765" s="3">
        <v>42403.0</v>
      </c>
      <c r="B765" s="6">
        <v>0.14949812599130233</v>
      </c>
    </row>
    <row r="766">
      <c r="A766" s="3">
        <v>42404.0</v>
      </c>
      <c r="B766" s="6">
        <v>0.14949812599130233</v>
      </c>
    </row>
    <row r="767">
      <c r="A767" s="3">
        <v>42405.0</v>
      </c>
      <c r="B767" s="6">
        <v>0.14949812599130233</v>
      </c>
    </row>
    <row r="768">
      <c r="A768" s="3">
        <v>42406.0</v>
      </c>
      <c r="B768" s="6">
        <v>0.14949812599130233</v>
      </c>
    </row>
    <row r="769">
      <c r="A769" s="3">
        <v>42407.0</v>
      </c>
      <c r="B769" s="6">
        <v>0.14949812599130233</v>
      </c>
    </row>
    <row r="770">
      <c r="A770" s="3">
        <v>42408.0</v>
      </c>
      <c r="B770" s="6">
        <v>0.14949812599130233</v>
      </c>
    </row>
    <row r="771">
      <c r="A771" s="3">
        <v>42409.0</v>
      </c>
      <c r="B771" s="6">
        <v>0.14949812599130233</v>
      </c>
    </row>
    <row r="772">
      <c r="A772" s="3">
        <v>42410.0</v>
      </c>
      <c r="B772" s="6">
        <v>0.14949812599130233</v>
      </c>
    </row>
    <row r="773">
      <c r="A773" s="3">
        <v>42411.0</v>
      </c>
      <c r="B773" s="6">
        <v>0.14949812599130233</v>
      </c>
    </row>
    <row r="774">
      <c r="A774" s="3">
        <v>42412.0</v>
      </c>
      <c r="B774" s="6">
        <v>0.14949812599130233</v>
      </c>
    </row>
    <row r="775">
      <c r="A775" s="3">
        <v>42413.0</v>
      </c>
      <c r="B775" s="6">
        <v>0.14949812599130233</v>
      </c>
    </row>
    <row r="776">
      <c r="A776" s="3">
        <v>42414.0</v>
      </c>
      <c r="B776" s="6">
        <v>0.14949812599130233</v>
      </c>
    </row>
    <row r="777">
      <c r="A777" s="3">
        <v>42415.0</v>
      </c>
      <c r="B777" s="6">
        <v>0.14949812599130233</v>
      </c>
    </row>
    <row r="778">
      <c r="A778" s="3">
        <v>42416.0</v>
      </c>
      <c r="B778" s="6">
        <v>0.14949812599130233</v>
      </c>
    </row>
    <row r="779">
      <c r="A779" s="3">
        <v>42417.0</v>
      </c>
      <c r="B779" s="6">
        <v>0.14949812599130233</v>
      </c>
    </row>
    <row r="780">
      <c r="A780" s="3">
        <v>42418.0</v>
      </c>
      <c r="B780" s="6">
        <v>0.14949812599130233</v>
      </c>
    </row>
    <row r="781">
      <c r="A781" s="3">
        <v>42419.0</v>
      </c>
      <c r="B781" s="6">
        <v>0.14949812599130233</v>
      </c>
    </row>
    <row r="782">
      <c r="A782" s="3">
        <v>42420.0</v>
      </c>
      <c r="B782" s="6">
        <v>0.14949812599130233</v>
      </c>
    </row>
    <row r="783">
      <c r="A783" s="3">
        <v>42421.0</v>
      </c>
      <c r="B783" s="6">
        <v>0.14949812599130233</v>
      </c>
    </row>
    <row r="784">
      <c r="A784" s="3">
        <v>42422.0</v>
      </c>
      <c r="B784" s="6">
        <v>0.14949812599130233</v>
      </c>
    </row>
    <row r="785">
      <c r="A785" s="3">
        <v>42423.0</v>
      </c>
      <c r="B785" s="6">
        <v>0.14949812599130233</v>
      </c>
    </row>
    <row r="786">
      <c r="A786" s="3">
        <v>42424.0</v>
      </c>
      <c r="B786" s="6">
        <v>0.14949812599130233</v>
      </c>
    </row>
    <row r="787">
      <c r="A787" s="3">
        <v>42425.0</v>
      </c>
      <c r="B787" s="6">
        <v>0.14949812599130233</v>
      </c>
    </row>
    <row r="788">
      <c r="A788" s="3">
        <v>42426.0</v>
      </c>
      <c r="B788" s="6">
        <v>0.14949812599130233</v>
      </c>
    </row>
    <row r="789">
      <c r="A789" s="3">
        <v>42427.0</v>
      </c>
      <c r="B789" s="6">
        <v>0.14949812599130233</v>
      </c>
    </row>
    <row r="790">
      <c r="A790" s="3">
        <v>42428.0</v>
      </c>
      <c r="B790" s="6">
        <v>0.14949812599130233</v>
      </c>
    </row>
    <row r="791">
      <c r="A791" s="3">
        <v>42429.0</v>
      </c>
      <c r="B791" s="6">
        <v>0.14949812599130233</v>
      </c>
    </row>
    <row r="792">
      <c r="A792" s="3">
        <v>42430.0</v>
      </c>
      <c r="B792" s="6">
        <v>0.14949812599130233</v>
      </c>
    </row>
    <row r="793">
      <c r="A793" s="3">
        <v>42431.0</v>
      </c>
      <c r="B793" s="6">
        <v>0.14949812599130233</v>
      </c>
    </row>
    <row r="794">
      <c r="A794" s="3">
        <v>42432.0</v>
      </c>
      <c r="B794" s="6">
        <v>0.14949812599130233</v>
      </c>
    </row>
    <row r="795">
      <c r="A795" s="3">
        <v>42433.0</v>
      </c>
      <c r="B795" s="6">
        <v>0.14949812599130233</v>
      </c>
    </row>
    <row r="796">
      <c r="A796" s="3">
        <v>42434.0</v>
      </c>
      <c r="B796" s="6">
        <v>0.14949812599130233</v>
      </c>
    </row>
    <row r="797">
      <c r="A797" s="3">
        <v>42435.0</v>
      </c>
      <c r="B797" s="6">
        <v>0.14949812599130233</v>
      </c>
    </row>
    <row r="798">
      <c r="A798" s="3">
        <v>42436.0</v>
      </c>
      <c r="B798" s="6">
        <v>0.14949812599130233</v>
      </c>
    </row>
    <row r="799">
      <c r="A799" s="3">
        <v>42437.0</v>
      </c>
      <c r="B799" s="6">
        <v>0.14949812599130233</v>
      </c>
    </row>
    <row r="800">
      <c r="A800" s="3">
        <v>42438.0</v>
      </c>
      <c r="B800" s="6">
        <v>0.14949812599130233</v>
      </c>
    </row>
    <row r="801">
      <c r="A801" s="3">
        <v>42439.0</v>
      </c>
      <c r="B801" s="6">
        <v>0.14949812599130233</v>
      </c>
    </row>
    <row r="802">
      <c r="A802" s="3">
        <v>42440.0</v>
      </c>
      <c r="B802" s="6">
        <v>0.14949812599130233</v>
      </c>
    </row>
    <row r="803">
      <c r="A803" s="3">
        <v>42441.0</v>
      </c>
      <c r="B803" s="6">
        <v>0.14949812599130233</v>
      </c>
    </row>
    <row r="804">
      <c r="A804" s="3">
        <v>42442.0</v>
      </c>
      <c r="B804" s="6">
        <v>0.14949812599130233</v>
      </c>
    </row>
    <row r="805">
      <c r="A805" s="3">
        <v>42443.0</v>
      </c>
      <c r="B805" s="6">
        <v>0.14949812599130233</v>
      </c>
    </row>
    <row r="806">
      <c r="A806" s="3">
        <v>42444.0</v>
      </c>
      <c r="B806" s="6">
        <v>0.14949812599130233</v>
      </c>
    </row>
    <row r="807">
      <c r="A807" s="3">
        <v>42445.0</v>
      </c>
      <c r="B807" s="6">
        <v>0.14949812599130233</v>
      </c>
    </row>
    <row r="808">
      <c r="A808" s="3">
        <v>42446.0</v>
      </c>
      <c r="B808" s="6">
        <v>0.14949812599130233</v>
      </c>
    </row>
    <row r="809">
      <c r="A809" s="3">
        <v>42447.0</v>
      </c>
      <c r="B809" s="6">
        <v>0.14949812599130233</v>
      </c>
    </row>
    <row r="810">
      <c r="A810" s="3">
        <v>42448.0</v>
      </c>
      <c r="B810" s="6">
        <v>0.14949812599130233</v>
      </c>
    </row>
    <row r="811">
      <c r="A811" s="3">
        <v>42449.0</v>
      </c>
      <c r="B811" s="6">
        <v>0.14949812599130233</v>
      </c>
    </row>
    <row r="812">
      <c r="A812" s="3">
        <v>42450.0</v>
      </c>
      <c r="B812" s="6">
        <v>0.14949812599130233</v>
      </c>
    </row>
    <row r="813">
      <c r="A813" s="3">
        <v>42451.0</v>
      </c>
      <c r="B813" s="6">
        <v>0.14949812599130233</v>
      </c>
    </row>
    <row r="814">
      <c r="A814" s="3">
        <v>42452.0</v>
      </c>
      <c r="B814" s="6">
        <v>0.14949812599130233</v>
      </c>
    </row>
    <row r="815">
      <c r="A815" s="3">
        <v>42453.0</v>
      </c>
      <c r="B815" s="6">
        <v>0.14949812599130233</v>
      </c>
    </row>
    <row r="816">
      <c r="A816" s="3">
        <v>42454.0</v>
      </c>
      <c r="B816" s="6">
        <v>0.14949812599130233</v>
      </c>
    </row>
    <row r="817">
      <c r="A817" s="3">
        <v>42455.0</v>
      </c>
      <c r="B817" s="6">
        <v>0.14949812599130233</v>
      </c>
    </row>
    <row r="818">
      <c r="A818" s="3">
        <v>42456.0</v>
      </c>
      <c r="B818" s="6">
        <v>0.14949812599130233</v>
      </c>
    </row>
    <row r="819">
      <c r="A819" s="3">
        <v>42457.0</v>
      </c>
      <c r="B819" s="6">
        <v>0.14949812599130233</v>
      </c>
    </row>
    <row r="820">
      <c r="A820" s="3">
        <v>42458.0</v>
      </c>
      <c r="B820" s="6">
        <v>0.14949812599130233</v>
      </c>
    </row>
    <row r="821">
      <c r="A821" s="3">
        <v>42459.0</v>
      </c>
      <c r="B821" s="6">
        <v>0.14949812599130233</v>
      </c>
    </row>
    <row r="822">
      <c r="A822" s="3">
        <v>42460.0</v>
      </c>
      <c r="B822" s="6">
        <v>0.14949812599130233</v>
      </c>
    </row>
    <row r="823">
      <c r="A823" s="3">
        <v>42461.0</v>
      </c>
      <c r="B823" s="6">
        <v>0.14949812599130233</v>
      </c>
    </row>
    <row r="824">
      <c r="A824" s="3">
        <v>42462.0</v>
      </c>
      <c r="B824" s="6">
        <v>0.14949812599130233</v>
      </c>
    </row>
    <row r="825">
      <c r="A825" s="3">
        <v>42463.0</v>
      </c>
      <c r="B825" s="6">
        <v>0.14949812599130233</v>
      </c>
    </row>
    <row r="826">
      <c r="A826" s="3">
        <v>42464.0</v>
      </c>
      <c r="B826" s="6">
        <v>0.14949812599130233</v>
      </c>
    </row>
    <row r="827">
      <c r="A827" s="3">
        <v>42465.0</v>
      </c>
      <c r="B827" s="6">
        <v>0.14949812599130233</v>
      </c>
    </row>
    <row r="828">
      <c r="A828" s="3">
        <v>42466.0</v>
      </c>
      <c r="B828" s="6">
        <v>0.14949812599130233</v>
      </c>
    </row>
    <row r="829">
      <c r="A829" s="3">
        <v>42467.0</v>
      </c>
      <c r="B829" s="6">
        <v>0.14949812599130233</v>
      </c>
    </row>
    <row r="830">
      <c r="A830" s="3">
        <v>42468.0</v>
      </c>
      <c r="B830" s="6">
        <v>0.14949812599130233</v>
      </c>
    </row>
    <row r="831">
      <c r="A831" s="3">
        <v>42469.0</v>
      </c>
      <c r="B831" s="6">
        <v>0.14949812599130233</v>
      </c>
    </row>
    <row r="832">
      <c r="A832" s="3">
        <v>42470.0</v>
      </c>
      <c r="B832" s="6">
        <v>0.14949812599130233</v>
      </c>
    </row>
    <row r="833">
      <c r="A833" s="3">
        <v>42471.0</v>
      </c>
      <c r="B833" s="6">
        <v>0.14949812599130233</v>
      </c>
    </row>
    <row r="834">
      <c r="A834" s="3">
        <v>42472.0</v>
      </c>
      <c r="B834" s="6">
        <v>0.14949812599130233</v>
      </c>
    </row>
    <row r="835">
      <c r="A835" s="3">
        <v>42473.0</v>
      </c>
      <c r="B835" s="6">
        <v>0.14949812599130233</v>
      </c>
    </row>
    <row r="836">
      <c r="A836" s="3">
        <v>42474.0</v>
      </c>
      <c r="B836" s="6">
        <v>0.14949812599130233</v>
      </c>
    </row>
    <row r="837">
      <c r="A837" s="3">
        <v>42475.0</v>
      </c>
      <c r="B837" s="6">
        <v>0.14949812599130233</v>
      </c>
    </row>
    <row r="838">
      <c r="A838" s="3">
        <v>42476.0</v>
      </c>
      <c r="B838" s="6">
        <v>0.14949812599130233</v>
      </c>
    </row>
    <row r="839">
      <c r="A839" s="3">
        <v>42477.0</v>
      </c>
      <c r="B839" s="6">
        <v>0.14949812599130233</v>
      </c>
    </row>
    <row r="840">
      <c r="A840" s="3">
        <v>42478.0</v>
      </c>
      <c r="B840" s="6">
        <v>0.14949812599130233</v>
      </c>
    </row>
    <row r="841">
      <c r="A841" s="3">
        <v>42479.0</v>
      </c>
      <c r="B841" s="6">
        <v>0.14949812599130233</v>
      </c>
    </row>
    <row r="842">
      <c r="A842" s="3">
        <v>42480.0</v>
      </c>
      <c r="B842" s="6">
        <v>0.14949812599130233</v>
      </c>
    </row>
    <row r="843">
      <c r="A843" s="3">
        <v>42481.0</v>
      </c>
      <c r="B843" s="6">
        <v>0.14949812599130233</v>
      </c>
    </row>
    <row r="844">
      <c r="A844" s="3">
        <v>42482.0</v>
      </c>
      <c r="B844" s="6">
        <v>0.14949812599130233</v>
      </c>
    </row>
    <row r="845">
      <c r="A845" s="3">
        <v>42483.0</v>
      </c>
      <c r="B845" s="6">
        <v>0.14949812599130233</v>
      </c>
    </row>
    <row r="846">
      <c r="A846" s="3">
        <v>42484.0</v>
      </c>
      <c r="B846" s="6">
        <v>0.14949812599130233</v>
      </c>
    </row>
    <row r="847">
      <c r="A847" s="3">
        <v>42485.0</v>
      </c>
      <c r="B847" s="6">
        <v>0.14949812599130233</v>
      </c>
    </row>
    <row r="848">
      <c r="A848" s="3">
        <v>42486.0</v>
      </c>
      <c r="B848" s="6">
        <v>0.14949812599130233</v>
      </c>
    </row>
    <row r="849">
      <c r="A849" s="3">
        <v>42487.0</v>
      </c>
      <c r="B849" s="6">
        <v>0.14949812599130233</v>
      </c>
    </row>
    <row r="850">
      <c r="A850" s="3">
        <v>42488.0</v>
      </c>
      <c r="B850" s="6">
        <v>0.14949812599130233</v>
      </c>
    </row>
    <row r="851">
      <c r="A851" s="3">
        <v>42489.0</v>
      </c>
      <c r="B851" s="6">
        <v>0.14949812599130233</v>
      </c>
    </row>
    <row r="852">
      <c r="A852" s="3">
        <v>42490.0</v>
      </c>
      <c r="B852" s="6">
        <v>0.14949812599130233</v>
      </c>
    </row>
    <row r="853">
      <c r="A853" s="3">
        <v>42491.0</v>
      </c>
      <c r="B853" s="6">
        <v>0.14949812599130233</v>
      </c>
    </row>
    <row r="854">
      <c r="A854" s="3">
        <v>42492.0</v>
      </c>
      <c r="B854" s="6">
        <v>0.14949812599130233</v>
      </c>
    </row>
    <row r="855">
      <c r="A855" s="3">
        <v>42493.0</v>
      </c>
      <c r="B855" s="6">
        <v>0.14949812599130233</v>
      </c>
    </row>
    <row r="856">
      <c r="A856" s="3">
        <v>42494.0</v>
      </c>
      <c r="B856" s="6">
        <v>0.14949812599130233</v>
      </c>
    </row>
    <row r="857">
      <c r="A857" s="3">
        <v>42495.0</v>
      </c>
      <c r="B857" s="6">
        <v>0.14949812599130233</v>
      </c>
    </row>
    <row r="858">
      <c r="A858" s="3">
        <v>42496.0</v>
      </c>
      <c r="B858" s="6">
        <v>0.14949812599130233</v>
      </c>
    </row>
    <row r="859">
      <c r="A859" s="3">
        <v>42497.0</v>
      </c>
      <c r="B859" s="6">
        <v>0.14949812599130233</v>
      </c>
    </row>
    <row r="860">
      <c r="A860" s="3">
        <v>42498.0</v>
      </c>
      <c r="B860" s="6">
        <v>0.14949812599130233</v>
      </c>
    </row>
    <row r="861">
      <c r="A861" s="3">
        <v>42499.0</v>
      </c>
      <c r="B861" s="6">
        <v>0.14949812599130233</v>
      </c>
    </row>
    <row r="862">
      <c r="A862" s="3">
        <v>42500.0</v>
      </c>
      <c r="B862" s="6">
        <v>0.14949812599130233</v>
      </c>
    </row>
    <row r="863">
      <c r="A863" s="3">
        <v>42501.0</v>
      </c>
      <c r="B863" s="6">
        <v>0.14949812599130233</v>
      </c>
    </row>
    <row r="864">
      <c r="A864" s="3">
        <v>42502.0</v>
      </c>
      <c r="B864" s="6">
        <v>0.14949812599130233</v>
      </c>
    </row>
    <row r="865">
      <c r="A865" s="3">
        <v>42503.0</v>
      </c>
      <c r="B865" s="6">
        <v>0.14949812599130233</v>
      </c>
    </row>
    <row r="866">
      <c r="A866" s="3">
        <v>42504.0</v>
      </c>
      <c r="B866" s="6">
        <v>0.14949812599130233</v>
      </c>
    </row>
    <row r="867">
      <c r="A867" s="3">
        <v>42505.0</v>
      </c>
      <c r="B867" s="6">
        <v>0.14949812599130233</v>
      </c>
    </row>
    <row r="868">
      <c r="A868" s="3">
        <v>42506.0</v>
      </c>
      <c r="B868" s="6">
        <v>0.14949812599130233</v>
      </c>
    </row>
    <row r="869">
      <c r="A869" s="3">
        <v>42507.0</v>
      </c>
      <c r="B869" s="6">
        <v>0.14949812599130233</v>
      </c>
    </row>
    <row r="870">
      <c r="A870" s="3">
        <v>42508.0</v>
      </c>
      <c r="B870" s="6">
        <v>0.14949812599130233</v>
      </c>
    </row>
    <row r="871">
      <c r="A871" s="3">
        <v>42509.0</v>
      </c>
      <c r="B871" s="6">
        <v>0.14949812599130233</v>
      </c>
    </row>
    <row r="872">
      <c r="A872" s="3">
        <v>42510.0</v>
      </c>
      <c r="B872" s="6">
        <v>0.14949812599130233</v>
      </c>
    </row>
    <row r="873">
      <c r="A873" s="3">
        <v>42511.0</v>
      </c>
      <c r="B873" s="6">
        <v>0.14949812599130233</v>
      </c>
    </row>
    <row r="874">
      <c r="A874" s="3">
        <v>42512.0</v>
      </c>
      <c r="B874" s="6">
        <v>0.14949812599130233</v>
      </c>
    </row>
    <row r="875">
      <c r="A875" s="3">
        <v>42513.0</v>
      </c>
      <c r="B875" s="6">
        <v>0.14949812599130233</v>
      </c>
    </row>
    <row r="876">
      <c r="A876" s="3">
        <v>42514.0</v>
      </c>
      <c r="B876" s="6">
        <v>0.14949812599130233</v>
      </c>
    </row>
    <row r="877">
      <c r="A877" s="3">
        <v>42515.0</v>
      </c>
      <c r="B877" s="6">
        <v>0.14949812599130233</v>
      </c>
    </row>
    <row r="878">
      <c r="A878" s="3">
        <v>42516.0</v>
      </c>
      <c r="B878" s="6">
        <v>0.14949812599130233</v>
      </c>
    </row>
    <row r="879">
      <c r="A879" s="3">
        <v>42517.0</v>
      </c>
      <c r="B879" s="6">
        <v>0.14949812599130233</v>
      </c>
    </row>
    <row r="880">
      <c r="A880" s="3">
        <v>42518.0</v>
      </c>
      <c r="B880" s="6">
        <v>0.14949812599130233</v>
      </c>
    </row>
    <row r="881">
      <c r="A881" s="3">
        <v>42519.0</v>
      </c>
      <c r="B881" s="6">
        <v>0.14949812599130233</v>
      </c>
    </row>
    <row r="882">
      <c r="A882" s="3">
        <v>42520.0</v>
      </c>
      <c r="B882" s="6">
        <v>0.14949812599130233</v>
      </c>
    </row>
    <row r="883">
      <c r="A883" s="3">
        <v>42521.0</v>
      </c>
      <c r="B883" s="6">
        <v>0.14949812599130233</v>
      </c>
    </row>
    <row r="884">
      <c r="A884" s="3">
        <v>42522.0</v>
      </c>
      <c r="B884" s="6">
        <v>0.14949812599130233</v>
      </c>
    </row>
    <row r="885">
      <c r="A885" s="3">
        <v>42523.0</v>
      </c>
      <c r="B885" s="6">
        <v>0.14949812599130233</v>
      </c>
    </row>
    <row r="886">
      <c r="A886" s="3">
        <v>42524.0</v>
      </c>
      <c r="B886" s="6">
        <v>0.14949812599130233</v>
      </c>
    </row>
    <row r="887">
      <c r="A887" s="3">
        <v>42525.0</v>
      </c>
      <c r="B887" s="6">
        <v>0.14949812599130233</v>
      </c>
    </row>
    <row r="888">
      <c r="A888" s="3">
        <v>42526.0</v>
      </c>
      <c r="B888" s="6">
        <v>0.14949812599130233</v>
      </c>
    </row>
    <row r="889">
      <c r="A889" s="3">
        <v>42527.0</v>
      </c>
      <c r="B889" s="6">
        <v>0.14949812599130233</v>
      </c>
    </row>
    <row r="890">
      <c r="A890" s="3">
        <v>42528.0</v>
      </c>
      <c r="B890" s="6">
        <v>0.14949812599130233</v>
      </c>
    </row>
    <row r="891">
      <c r="A891" s="3">
        <v>42529.0</v>
      </c>
      <c r="B891" s="6">
        <v>0.14949812599130233</v>
      </c>
    </row>
    <row r="892">
      <c r="A892" s="3">
        <v>42530.0</v>
      </c>
      <c r="B892" s="6">
        <v>0.14949812599130233</v>
      </c>
    </row>
    <row r="893">
      <c r="A893" s="3">
        <v>42531.0</v>
      </c>
      <c r="B893" s="6">
        <v>0.14949812599130233</v>
      </c>
    </row>
    <row r="894">
      <c r="A894" s="3">
        <v>42532.0</v>
      </c>
      <c r="B894" s="6">
        <v>0.14949812599130233</v>
      </c>
    </row>
    <row r="895">
      <c r="A895" s="3">
        <v>42533.0</v>
      </c>
      <c r="B895" s="6">
        <v>0.14949812599130233</v>
      </c>
    </row>
    <row r="896">
      <c r="A896" s="3">
        <v>42534.0</v>
      </c>
      <c r="B896" s="6">
        <v>0.14949812599130233</v>
      </c>
    </row>
    <row r="897">
      <c r="A897" s="3">
        <v>42535.0</v>
      </c>
      <c r="B897" s="6">
        <v>0.14949812599130233</v>
      </c>
    </row>
    <row r="898">
      <c r="A898" s="3">
        <v>42536.0</v>
      </c>
      <c r="B898" s="6">
        <v>0.14949812599130233</v>
      </c>
    </row>
    <row r="899">
      <c r="A899" s="3">
        <v>42537.0</v>
      </c>
      <c r="B899" s="6">
        <v>0.14949812599130233</v>
      </c>
    </row>
    <row r="900">
      <c r="A900" s="3">
        <v>42538.0</v>
      </c>
      <c r="B900" s="6">
        <v>0.14949812599130233</v>
      </c>
    </row>
    <row r="901">
      <c r="A901" s="3">
        <v>42539.0</v>
      </c>
      <c r="B901" s="6">
        <v>0.14949812599130233</v>
      </c>
    </row>
    <row r="902">
      <c r="A902" s="3">
        <v>42540.0</v>
      </c>
      <c r="B902" s="6">
        <v>0.14949812599130233</v>
      </c>
    </row>
    <row r="903">
      <c r="A903" s="3">
        <v>42541.0</v>
      </c>
      <c r="B903" s="6">
        <v>0.14949812599130233</v>
      </c>
    </row>
    <row r="904">
      <c r="A904" s="3">
        <v>42542.0</v>
      </c>
      <c r="B904" s="6">
        <v>0.14949812599130233</v>
      </c>
    </row>
    <row r="905">
      <c r="A905" s="3">
        <v>42543.0</v>
      </c>
      <c r="B905" s="6">
        <v>0.14949812599130233</v>
      </c>
    </row>
    <row r="906">
      <c r="A906" s="3">
        <v>42544.0</v>
      </c>
      <c r="B906" s="6">
        <v>0.14949812599130233</v>
      </c>
    </row>
    <row r="907">
      <c r="A907" s="3">
        <v>42545.0</v>
      </c>
      <c r="B907" s="6">
        <v>0.14949812599130233</v>
      </c>
    </row>
    <row r="908">
      <c r="A908" s="3">
        <v>42546.0</v>
      </c>
      <c r="B908" s="6">
        <v>0.14949812599130233</v>
      </c>
    </row>
    <row r="909">
      <c r="A909" s="3">
        <v>42547.0</v>
      </c>
      <c r="B909" s="6">
        <v>0.14949812599130233</v>
      </c>
    </row>
    <row r="910">
      <c r="A910" s="3">
        <v>42548.0</v>
      </c>
      <c r="B910" s="6">
        <v>0.14949812599130233</v>
      </c>
    </row>
    <row r="911">
      <c r="A911" s="3">
        <v>42549.0</v>
      </c>
      <c r="B911" s="6">
        <v>0.14949812599130233</v>
      </c>
    </row>
    <row r="912">
      <c r="A912" s="3">
        <v>42550.0</v>
      </c>
      <c r="B912" s="6">
        <v>0.14949812599130233</v>
      </c>
    </row>
    <row r="913">
      <c r="A913" s="3">
        <v>42551.0</v>
      </c>
      <c r="B913" s="6">
        <v>0.14949812599130233</v>
      </c>
    </row>
    <row r="914">
      <c r="A914" s="3">
        <v>42552.0</v>
      </c>
      <c r="B914" s="6">
        <v>0.13364518974677064</v>
      </c>
    </row>
    <row r="915">
      <c r="A915" s="3">
        <v>42553.0</v>
      </c>
      <c r="B915" s="6">
        <v>0.13364518974677064</v>
      </c>
    </row>
    <row r="916">
      <c r="A916" s="3">
        <v>42554.0</v>
      </c>
      <c r="B916" s="6">
        <v>0.13364518974677064</v>
      </c>
    </row>
    <row r="917">
      <c r="A917" s="3">
        <v>42555.0</v>
      </c>
      <c r="B917" s="6">
        <v>0.13364518974677064</v>
      </c>
    </row>
    <row r="918">
      <c r="A918" s="3">
        <v>42556.0</v>
      </c>
      <c r="B918" s="6">
        <v>0.13364518974677064</v>
      </c>
    </row>
    <row r="919">
      <c r="A919" s="3">
        <v>42557.0</v>
      </c>
      <c r="B919" s="6">
        <v>0.13364518974677064</v>
      </c>
    </row>
    <row r="920">
      <c r="A920" s="3">
        <v>42558.0</v>
      </c>
      <c r="B920" s="6">
        <v>0.13364518974677064</v>
      </c>
    </row>
    <row r="921">
      <c r="A921" s="3">
        <v>42559.0</v>
      </c>
      <c r="B921" s="6">
        <v>0.13364518974677064</v>
      </c>
    </row>
    <row r="922">
      <c r="A922" s="3">
        <v>42560.0</v>
      </c>
      <c r="B922" s="6">
        <v>0.13364518974677064</v>
      </c>
    </row>
    <row r="923">
      <c r="A923" s="3">
        <v>42561.0</v>
      </c>
      <c r="B923" s="6">
        <v>0.13364518974677064</v>
      </c>
    </row>
    <row r="924">
      <c r="A924" s="3">
        <v>42562.0</v>
      </c>
      <c r="B924" s="6">
        <v>0.13364518974677064</v>
      </c>
    </row>
    <row r="925">
      <c r="A925" s="3">
        <v>42563.0</v>
      </c>
      <c r="B925" s="6">
        <v>0.13364518974677064</v>
      </c>
    </row>
    <row r="926">
      <c r="A926" s="3">
        <v>42564.0</v>
      </c>
      <c r="B926" s="6">
        <v>0.13364518974677064</v>
      </c>
    </row>
    <row r="927">
      <c r="A927" s="3">
        <v>42565.0</v>
      </c>
      <c r="B927" s="6">
        <v>0.13364518974677064</v>
      </c>
    </row>
    <row r="928">
      <c r="A928" s="3">
        <v>42566.0</v>
      </c>
      <c r="B928" s="6">
        <v>0.13364518974677064</v>
      </c>
    </row>
    <row r="929">
      <c r="A929" s="3">
        <v>42567.0</v>
      </c>
      <c r="B929" s="6">
        <v>0.13364518974677064</v>
      </c>
    </row>
    <row r="930">
      <c r="A930" s="3">
        <v>42568.0</v>
      </c>
      <c r="B930" s="6">
        <v>0.13364518974677064</v>
      </c>
    </row>
    <row r="931">
      <c r="A931" s="3">
        <v>42569.0</v>
      </c>
      <c r="B931" s="6">
        <v>0.13364518974677064</v>
      </c>
    </row>
    <row r="932">
      <c r="A932" s="3">
        <v>42570.0</v>
      </c>
      <c r="B932" s="6">
        <v>0.13364518974677064</v>
      </c>
    </row>
    <row r="933">
      <c r="A933" s="3">
        <v>42571.0</v>
      </c>
      <c r="B933" s="6">
        <v>0.13364518974677064</v>
      </c>
    </row>
    <row r="934">
      <c r="A934" s="3">
        <v>42572.0</v>
      </c>
      <c r="B934" s="6">
        <v>0.13364518974677064</v>
      </c>
    </row>
    <row r="935">
      <c r="A935" s="3">
        <v>42573.0</v>
      </c>
      <c r="B935" s="6">
        <v>0.13364518974677064</v>
      </c>
    </row>
    <row r="936">
      <c r="A936" s="3">
        <v>42574.0</v>
      </c>
      <c r="B936" s="6">
        <v>0.13364518974677064</v>
      </c>
    </row>
    <row r="937">
      <c r="A937" s="3">
        <v>42575.0</v>
      </c>
      <c r="B937" s="6">
        <v>0.13364518974677064</v>
      </c>
    </row>
    <row r="938">
      <c r="A938" s="3">
        <v>42576.0</v>
      </c>
      <c r="B938" s="6">
        <v>0.13364518974677064</v>
      </c>
    </row>
    <row r="939">
      <c r="A939" s="3">
        <v>42577.0</v>
      </c>
      <c r="B939" s="6">
        <v>0.13364518974677064</v>
      </c>
    </row>
    <row r="940">
      <c r="A940" s="3">
        <v>42578.0</v>
      </c>
      <c r="B940" s="6">
        <v>0.13364518974677064</v>
      </c>
    </row>
    <row r="941">
      <c r="A941" s="3">
        <v>42579.0</v>
      </c>
      <c r="B941" s="6">
        <v>0.13364518974677064</v>
      </c>
    </row>
    <row r="942">
      <c r="A942" s="3">
        <v>42580.0</v>
      </c>
      <c r="B942" s="6">
        <v>0.13364518974677064</v>
      </c>
    </row>
    <row r="943">
      <c r="A943" s="3">
        <v>42581.0</v>
      </c>
      <c r="B943" s="6">
        <v>0.13364518974677064</v>
      </c>
    </row>
    <row r="944">
      <c r="A944" s="3">
        <v>42582.0</v>
      </c>
      <c r="B944" s="6">
        <v>0.13364518974677064</v>
      </c>
    </row>
    <row r="945">
      <c r="A945" s="3">
        <v>42583.0</v>
      </c>
      <c r="B945" s="6">
        <v>0.13364518974677064</v>
      </c>
    </row>
    <row r="946">
      <c r="A946" s="3">
        <v>42584.0</v>
      </c>
      <c r="B946" s="6">
        <v>0.13364518974677064</v>
      </c>
    </row>
    <row r="947">
      <c r="A947" s="3">
        <v>42585.0</v>
      </c>
      <c r="B947" s="6">
        <v>0.13364518974677064</v>
      </c>
    </row>
    <row r="948">
      <c r="A948" s="3">
        <v>42586.0</v>
      </c>
      <c r="B948" s="6">
        <v>0.13364518974677064</v>
      </c>
    </row>
    <row r="949">
      <c r="A949" s="3">
        <v>42587.0</v>
      </c>
      <c r="B949" s="6">
        <v>0.13364518974677064</v>
      </c>
    </row>
    <row r="950">
      <c r="A950" s="3">
        <v>42588.0</v>
      </c>
      <c r="B950" s="6">
        <v>0.13364518974677064</v>
      </c>
    </row>
    <row r="951">
      <c r="A951" s="3">
        <v>42589.0</v>
      </c>
      <c r="B951" s="6">
        <v>0.13364518974677064</v>
      </c>
    </row>
    <row r="952">
      <c r="A952" s="3">
        <v>42590.0</v>
      </c>
      <c r="B952" s="6">
        <v>0.13364518974677064</v>
      </c>
    </row>
    <row r="953">
      <c r="A953" s="3">
        <v>42591.0</v>
      </c>
      <c r="B953" s="6">
        <v>0.13364518974677064</v>
      </c>
    </row>
    <row r="954">
      <c r="A954" s="3">
        <v>42592.0</v>
      </c>
      <c r="B954" s="6">
        <v>0.13364518974677064</v>
      </c>
    </row>
    <row r="955">
      <c r="A955" s="3">
        <v>42593.0</v>
      </c>
      <c r="B955" s="6">
        <v>0.13364518974677064</v>
      </c>
    </row>
    <row r="956">
      <c r="A956" s="3">
        <v>42594.0</v>
      </c>
      <c r="B956" s="6">
        <v>0.13364518974677064</v>
      </c>
    </row>
    <row r="957">
      <c r="A957" s="3">
        <v>42595.0</v>
      </c>
      <c r="B957" s="6">
        <v>0.13364518974677064</v>
      </c>
    </row>
    <row r="958">
      <c r="A958" s="3">
        <v>42596.0</v>
      </c>
      <c r="B958" s="6">
        <v>0.13364518974677064</v>
      </c>
    </row>
    <row r="959">
      <c r="A959" s="3">
        <v>42597.0</v>
      </c>
      <c r="B959" s="6">
        <v>0.13364518974677064</v>
      </c>
    </row>
    <row r="960">
      <c r="A960" s="3">
        <v>42598.0</v>
      </c>
      <c r="B960" s="6">
        <v>0.13364518974677064</v>
      </c>
    </row>
    <row r="961">
      <c r="A961" s="3">
        <v>42599.0</v>
      </c>
      <c r="B961" s="6">
        <v>0.13364518974677064</v>
      </c>
    </row>
    <row r="962">
      <c r="A962" s="3">
        <v>42600.0</v>
      </c>
      <c r="B962" s="6">
        <v>0.13364518974677064</v>
      </c>
    </row>
    <row r="963">
      <c r="A963" s="3">
        <v>42601.0</v>
      </c>
      <c r="B963" s="6">
        <v>0.13364518974677064</v>
      </c>
    </row>
    <row r="964">
      <c r="A964" s="3">
        <v>42602.0</v>
      </c>
      <c r="B964" s="6">
        <v>0.13364518974677064</v>
      </c>
    </row>
    <row r="965">
      <c r="A965" s="3">
        <v>42603.0</v>
      </c>
      <c r="B965" s="6">
        <v>0.13364518974677064</v>
      </c>
    </row>
    <row r="966">
      <c r="A966" s="3">
        <v>42604.0</v>
      </c>
      <c r="B966" s="6">
        <v>0.13364518974677064</v>
      </c>
    </row>
    <row r="967">
      <c r="A967" s="3">
        <v>42605.0</v>
      </c>
      <c r="B967" s="6">
        <v>0.13364518974677064</v>
      </c>
    </row>
    <row r="968">
      <c r="A968" s="3">
        <v>42606.0</v>
      </c>
      <c r="B968" s="6">
        <v>0.13364518974677064</v>
      </c>
    </row>
    <row r="969">
      <c r="A969" s="3">
        <v>42607.0</v>
      </c>
      <c r="B969" s="6">
        <v>0.13364518974677064</v>
      </c>
    </row>
    <row r="970">
      <c r="A970" s="3">
        <v>42608.0</v>
      </c>
      <c r="B970" s="6">
        <v>0.13364518974677064</v>
      </c>
    </row>
    <row r="971">
      <c r="A971" s="3">
        <v>42609.0</v>
      </c>
      <c r="B971" s="6">
        <v>0.13364518974677064</v>
      </c>
    </row>
    <row r="972">
      <c r="A972" s="3">
        <v>42610.0</v>
      </c>
      <c r="B972" s="6">
        <v>0.13364518974677064</v>
      </c>
    </row>
    <row r="973">
      <c r="A973" s="3">
        <v>42611.0</v>
      </c>
      <c r="B973" s="6">
        <v>0.13364518974677064</v>
      </c>
    </row>
    <row r="974">
      <c r="A974" s="3">
        <v>42612.0</v>
      </c>
      <c r="B974" s="6">
        <v>0.13364518974677064</v>
      </c>
    </row>
    <row r="975">
      <c r="A975" s="3">
        <v>42613.0</v>
      </c>
      <c r="B975" s="6">
        <v>0.13364518974677064</v>
      </c>
    </row>
    <row r="976">
      <c r="A976" s="3">
        <v>42614.0</v>
      </c>
      <c r="B976" s="6">
        <v>0.13364518974677064</v>
      </c>
    </row>
    <row r="977">
      <c r="A977" s="3">
        <v>42615.0</v>
      </c>
      <c r="B977" s="6">
        <v>0.13364518974677064</v>
      </c>
    </row>
    <row r="978">
      <c r="A978" s="3">
        <v>42616.0</v>
      </c>
      <c r="B978" s="6">
        <v>0.13364518974677064</v>
      </c>
    </row>
    <row r="979">
      <c r="A979" s="3">
        <v>42617.0</v>
      </c>
      <c r="B979" s="6">
        <v>0.13364518974677064</v>
      </c>
    </row>
    <row r="980">
      <c r="A980" s="3">
        <v>42618.0</v>
      </c>
      <c r="B980" s="6">
        <v>0.13364518974677064</v>
      </c>
    </row>
    <row r="981">
      <c r="A981" s="3">
        <v>42619.0</v>
      </c>
      <c r="B981" s="6">
        <v>0.13364518974677064</v>
      </c>
    </row>
    <row r="982">
      <c r="A982" s="3">
        <v>42620.0</v>
      </c>
      <c r="B982" s="6">
        <v>0.13364518974677064</v>
      </c>
    </row>
    <row r="983">
      <c r="A983" s="3">
        <v>42621.0</v>
      </c>
      <c r="B983" s="6">
        <v>0.13364518974677064</v>
      </c>
    </row>
    <row r="984">
      <c r="A984" s="3">
        <v>42622.0</v>
      </c>
      <c r="B984" s="6">
        <v>0.13364518974677064</v>
      </c>
    </row>
    <row r="985">
      <c r="A985" s="3">
        <v>42623.0</v>
      </c>
      <c r="B985" s="6">
        <v>0.13364518974677064</v>
      </c>
    </row>
    <row r="986">
      <c r="A986" s="3">
        <v>42624.0</v>
      </c>
      <c r="B986" s="6">
        <v>0.13364518974677064</v>
      </c>
    </row>
    <row r="987">
      <c r="A987" s="3">
        <v>42625.0</v>
      </c>
      <c r="B987" s="6">
        <v>0.13364518974677064</v>
      </c>
    </row>
    <row r="988">
      <c r="A988" s="3">
        <v>42626.0</v>
      </c>
      <c r="B988" s="6">
        <v>0.13364518974677064</v>
      </c>
    </row>
    <row r="989">
      <c r="A989" s="3">
        <v>42627.0</v>
      </c>
      <c r="B989" s="6">
        <v>0.13364518974677064</v>
      </c>
    </row>
    <row r="990">
      <c r="A990" s="3">
        <v>42628.0</v>
      </c>
      <c r="B990" s="6">
        <v>0.13364518974677064</v>
      </c>
    </row>
    <row r="991">
      <c r="A991" s="3">
        <v>42629.0</v>
      </c>
      <c r="B991" s="6">
        <v>0.13364518974677064</v>
      </c>
    </row>
    <row r="992">
      <c r="A992" s="3">
        <v>42630.0</v>
      </c>
      <c r="B992" s="6">
        <v>0.13364518974677064</v>
      </c>
    </row>
    <row r="993">
      <c r="A993" s="3">
        <v>42631.0</v>
      </c>
      <c r="B993" s="6">
        <v>0.13364518974677064</v>
      </c>
    </row>
    <row r="994">
      <c r="A994" s="3">
        <v>42632.0</v>
      </c>
      <c r="B994" s="6">
        <v>0.13364518974677064</v>
      </c>
    </row>
    <row r="995">
      <c r="A995" s="3">
        <v>42633.0</v>
      </c>
      <c r="B995" s="6">
        <v>0.13364518974677064</v>
      </c>
    </row>
    <row r="996">
      <c r="A996" s="3">
        <v>42634.0</v>
      </c>
      <c r="B996" s="6">
        <v>0.13364518974677064</v>
      </c>
    </row>
    <row r="997">
      <c r="A997" s="3">
        <v>42635.0</v>
      </c>
      <c r="B997" s="6">
        <v>0.13364518974677064</v>
      </c>
    </row>
    <row r="998">
      <c r="A998" s="3">
        <v>42636.0</v>
      </c>
      <c r="B998" s="6">
        <v>0.13364518974677064</v>
      </c>
    </row>
    <row r="999">
      <c r="A999" s="3">
        <v>42637.0</v>
      </c>
      <c r="B999" s="6">
        <v>0.13364518974677064</v>
      </c>
    </row>
    <row r="1000">
      <c r="A1000" s="3">
        <v>42638.0</v>
      </c>
      <c r="B1000" s="6">
        <v>0.13364518974677064</v>
      </c>
    </row>
    <row r="1001">
      <c r="A1001" s="3">
        <v>42639.0</v>
      </c>
      <c r="B1001" s="6">
        <v>0.13364518974677064</v>
      </c>
    </row>
    <row r="1002">
      <c r="A1002" s="3">
        <v>42640.0</v>
      </c>
      <c r="B1002" s="6">
        <v>0.13364518974677064</v>
      </c>
    </row>
    <row r="1003">
      <c r="A1003" s="3">
        <v>42641.0</v>
      </c>
      <c r="B1003" s="6">
        <v>0.13364518974677064</v>
      </c>
    </row>
    <row r="1004">
      <c r="A1004" s="3">
        <v>42642.0</v>
      </c>
      <c r="B1004" s="6">
        <v>0.13364518974677064</v>
      </c>
    </row>
    <row r="1005">
      <c r="A1005" s="3">
        <v>42643.0</v>
      </c>
      <c r="B1005" s="6">
        <v>0.13364518974677064</v>
      </c>
    </row>
    <row r="1006">
      <c r="A1006" s="3">
        <v>42644.0</v>
      </c>
      <c r="B1006" s="6">
        <v>0.13364518974677064</v>
      </c>
    </row>
    <row r="1007">
      <c r="A1007" s="3">
        <v>42645.0</v>
      </c>
      <c r="B1007" s="6">
        <v>0.13364518974677064</v>
      </c>
    </row>
    <row r="1008">
      <c r="A1008" s="3">
        <v>42646.0</v>
      </c>
      <c r="B1008" s="6">
        <v>0.13364518974677064</v>
      </c>
    </row>
    <row r="1009">
      <c r="A1009" s="3">
        <v>42647.0</v>
      </c>
      <c r="B1009" s="6">
        <v>0.13364518974677064</v>
      </c>
    </row>
    <row r="1010">
      <c r="A1010" s="3">
        <v>42648.0</v>
      </c>
      <c r="B1010" s="6">
        <v>0.13364518974677064</v>
      </c>
    </row>
    <row r="1011">
      <c r="A1011" s="3">
        <v>42649.0</v>
      </c>
      <c r="B1011" s="6">
        <v>0.13364518974677064</v>
      </c>
    </row>
    <row r="1012">
      <c r="A1012" s="3">
        <v>42650.0</v>
      </c>
      <c r="B1012" s="6">
        <v>0.13364518974677064</v>
      </c>
    </row>
    <row r="1013">
      <c r="A1013" s="3">
        <v>42651.0</v>
      </c>
      <c r="B1013" s="6">
        <v>0.13364518974677064</v>
      </c>
    </row>
    <row r="1014">
      <c r="A1014" s="3">
        <v>42652.0</v>
      </c>
      <c r="B1014" s="6">
        <v>0.13364518974677064</v>
      </c>
    </row>
    <row r="1015">
      <c r="A1015" s="3">
        <v>42653.0</v>
      </c>
      <c r="B1015" s="6">
        <v>0.13364518974677064</v>
      </c>
    </row>
    <row r="1016">
      <c r="A1016" s="3">
        <v>42654.0</v>
      </c>
      <c r="B1016" s="6">
        <v>0.13364518974677064</v>
      </c>
    </row>
    <row r="1017">
      <c r="A1017" s="3">
        <v>42655.0</v>
      </c>
      <c r="B1017" s="6">
        <v>0.13364518974677064</v>
      </c>
    </row>
    <row r="1018">
      <c r="A1018" s="3">
        <v>42656.0</v>
      </c>
      <c r="B1018" s="6">
        <v>0.13364518974677064</v>
      </c>
    </row>
    <row r="1019">
      <c r="A1019" s="3">
        <v>42657.0</v>
      </c>
      <c r="B1019" s="6">
        <v>0.13364518974677064</v>
      </c>
    </row>
    <row r="1020">
      <c r="A1020" s="3">
        <v>42658.0</v>
      </c>
      <c r="B1020" s="6">
        <v>0.13364518974677064</v>
      </c>
    </row>
    <row r="1021">
      <c r="A1021" s="3">
        <v>42659.0</v>
      </c>
      <c r="B1021" s="6">
        <v>0.13364518974677064</v>
      </c>
    </row>
    <row r="1022">
      <c r="A1022" s="3">
        <v>42660.0</v>
      </c>
      <c r="B1022" s="6">
        <v>0.13364518974677064</v>
      </c>
    </row>
    <row r="1023">
      <c r="A1023" s="3">
        <v>42661.0</v>
      </c>
      <c r="B1023" s="6">
        <v>0.13364518974677064</v>
      </c>
    </row>
    <row r="1024">
      <c r="A1024" s="3">
        <v>42662.0</v>
      </c>
      <c r="B1024" s="6">
        <v>0.13364518974677064</v>
      </c>
    </row>
    <row r="1025">
      <c r="A1025" s="3">
        <v>42663.0</v>
      </c>
      <c r="B1025" s="6">
        <v>0.13364518974677064</v>
      </c>
    </row>
    <row r="1026">
      <c r="A1026" s="3">
        <v>42664.0</v>
      </c>
      <c r="B1026" s="6">
        <v>0.13364518974677064</v>
      </c>
    </row>
    <row r="1027">
      <c r="A1027" s="3">
        <v>42665.0</v>
      </c>
      <c r="B1027" s="6">
        <v>0.13364518974677064</v>
      </c>
    </row>
    <row r="1028">
      <c r="A1028" s="3">
        <v>42666.0</v>
      </c>
      <c r="B1028" s="6">
        <v>0.13364518974677064</v>
      </c>
    </row>
    <row r="1029">
      <c r="A1029" s="3">
        <v>42667.0</v>
      </c>
      <c r="B1029" s="6">
        <v>0.13364518974677064</v>
      </c>
    </row>
    <row r="1030">
      <c r="A1030" s="3">
        <v>42668.0</v>
      </c>
      <c r="B1030" s="6">
        <v>0.13364518974677064</v>
      </c>
    </row>
    <row r="1031">
      <c r="A1031" s="3">
        <v>42669.0</v>
      </c>
      <c r="B1031" s="6">
        <v>0.13364518974677064</v>
      </c>
    </row>
    <row r="1032">
      <c r="A1032" s="3">
        <v>42670.0</v>
      </c>
      <c r="B1032" s="6">
        <v>0.13364518974677064</v>
      </c>
    </row>
    <row r="1033">
      <c r="A1033" s="3">
        <v>42671.0</v>
      </c>
      <c r="B1033" s="6">
        <v>0.13364518974677064</v>
      </c>
    </row>
    <row r="1034">
      <c r="A1034" s="3">
        <v>42672.0</v>
      </c>
      <c r="B1034" s="6">
        <v>0.13364518974677064</v>
      </c>
    </row>
    <row r="1035">
      <c r="A1035" s="3">
        <v>42673.0</v>
      </c>
      <c r="B1035" s="6">
        <v>0.13364518974677064</v>
      </c>
    </row>
    <row r="1036">
      <c r="A1036" s="3">
        <v>42674.0</v>
      </c>
      <c r="B1036" s="6">
        <v>0.13364518974677064</v>
      </c>
    </row>
    <row r="1037">
      <c r="A1037" s="3">
        <v>42675.0</v>
      </c>
      <c r="B1037" s="6">
        <v>0.13364518974677064</v>
      </c>
    </row>
    <row r="1038">
      <c r="A1038" s="3">
        <v>42676.0</v>
      </c>
      <c r="B1038" s="6">
        <v>0.13364518974677064</v>
      </c>
    </row>
    <row r="1039">
      <c r="A1039" s="3">
        <v>42677.0</v>
      </c>
      <c r="B1039" s="6">
        <v>0.13364518974677064</v>
      </c>
    </row>
    <row r="1040">
      <c r="A1040" s="3">
        <v>42678.0</v>
      </c>
      <c r="B1040" s="6">
        <v>0.13364518974677064</v>
      </c>
    </row>
    <row r="1041">
      <c r="A1041" s="3">
        <v>42679.0</v>
      </c>
      <c r="B1041" s="6">
        <v>0.13364518974677064</v>
      </c>
    </row>
    <row r="1042">
      <c r="A1042" s="3">
        <v>42680.0</v>
      </c>
      <c r="B1042" s="6">
        <v>0.13364518974677064</v>
      </c>
    </row>
    <row r="1043">
      <c r="A1043" s="3">
        <v>42681.0</v>
      </c>
      <c r="B1043" s="6">
        <v>0.13364518974677064</v>
      </c>
    </row>
    <row r="1044">
      <c r="A1044" s="3">
        <v>42682.0</v>
      </c>
      <c r="B1044" s="6">
        <v>0.13364518974677064</v>
      </c>
    </row>
    <row r="1045">
      <c r="A1045" s="3">
        <v>42683.0</v>
      </c>
      <c r="B1045" s="6">
        <v>0.13364518974677064</v>
      </c>
    </row>
    <row r="1046">
      <c r="A1046" s="3">
        <v>42684.0</v>
      </c>
      <c r="B1046" s="6">
        <v>0.13364518974677064</v>
      </c>
    </row>
    <row r="1047">
      <c r="A1047" s="3">
        <v>42685.0</v>
      </c>
      <c r="B1047" s="6">
        <v>0.13364518974677064</v>
      </c>
    </row>
    <row r="1048">
      <c r="A1048" s="3">
        <v>42686.0</v>
      </c>
      <c r="B1048" s="6">
        <v>0.13364518974677064</v>
      </c>
    </row>
    <row r="1049">
      <c r="A1049" s="3">
        <v>42687.0</v>
      </c>
      <c r="B1049" s="6">
        <v>0.13364518974677064</v>
      </c>
    </row>
    <row r="1050">
      <c r="A1050" s="3">
        <v>42688.0</v>
      </c>
      <c r="B1050" s="6">
        <v>0.13364518974677064</v>
      </c>
    </row>
    <row r="1051">
      <c r="A1051" s="3">
        <v>42689.0</v>
      </c>
      <c r="B1051" s="6">
        <v>0.13364518974677064</v>
      </c>
    </row>
    <row r="1052">
      <c r="A1052" s="3">
        <v>42690.0</v>
      </c>
      <c r="B1052" s="6">
        <v>0.13364518974677064</v>
      </c>
    </row>
    <row r="1053">
      <c r="A1053" s="3">
        <v>42691.0</v>
      </c>
      <c r="B1053" s="6">
        <v>0.13364518974677064</v>
      </c>
    </row>
    <row r="1054">
      <c r="A1054" s="3">
        <v>42692.0</v>
      </c>
      <c r="B1054" s="6">
        <v>0.13364518974677064</v>
      </c>
    </row>
    <row r="1055">
      <c r="A1055" s="3">
        <v>42693.0</v>
      </c>
      <c r="B1055" s="6">
        <v>0.13364518974677064</v>
      </c>
    </row>
    <row r="1056">
      <c r="A1056" s="3">
        <v>42694.0</v>
      </c>
      <c r="B1056" s="6">
        <v>0.13364518974677064</v>
      </c>
    </row>
    <row r="1057">
      <c r="A1057" s="3">
        <v>42695.0</v>
      </c>
      <c r="B1057" s="6">
        <v>0.13364518974677064</v>
      </c>
    </row>
    <row r="1058">
      <c r="A1058" s="3">
        <v>42696.0</v>
      </c>
      <c r="B1058" s="6">
        <v>0.13364518974677064</v>
      </c>
    </row>
    <row r="1059">
      <c r="A1059" s="3">
        <v>42697.0</v>
      </c>
      <c r="B1059" s="6">
        <v>0.13364518974677064</v>
      </c>
    </row>
    <row r="1060">
      <c r="A1060" s="3">
        <v>42698.0</v>
      </c>
      <c r="B1060" s="6">
        <v>0.13364518974677064</v>
      </c>
    </row>
    <row r="1061">
      <c r="A1061" s="3">
        <v>42699.0</v>
      </c>
      <c r="B1061" s="6">
        <v>0.13364518974677064</v>
      </c>
    </row>
    <row r="1062">
      <c r="A1062" s="3">
        <v>42700.0</v>
      </c>
      <c r="B1062" s="6">
        <v>0.13364518974677064</v>
      </c>
    </row>
    <row r="1063">
      <c r="A1063" s="3">
        <v>42701.0</v>
      </c>
      <c r="B1063" s="6">
        <v>0.13364518974677064</v>
      </c>
    </row>
    <row r="1064">
      <c r="A1064" s="3">
        <v>42702.0</v>
      </c>
      <c r="B1064" s="6">
        <v>0.13364518974677064</v>
      </c>
    </row>
    <row r="1065">
      <c r="A1065" s="3">
        <v>42703.0</v>
      </c>
      <c r="B1065" s="6">
        <v>0.13364518974677064</v>
      </c>
    </row>
    <row r="1066">
      <c r="A1066" s="3">
        <v>42704.0</v>
      </c>
      <c r="B1066" s="6">
        <v>0.13364518974677064</v>
      </c>
    </row>
    <row r="1067">
      <c r="A1067" s="3">
        <v>42705.0</v>
      </c>
      <c r="B1067" s="6">
        <v>0.13364518974677064</v>
      </c>
    </row>
    <row r="1068">
      <c r="A1068" s="3">
        <v>42706.0</v>
      </c>
      <c r="B1068" s="6">
        <v>0.13364518974677064</v>
      </c>
    </row>
    <row r="1069">
      <c r="A1069" s="3">
        <v>42707.0</v>
      </c>
      <c r="B1069" s="6">
        <v>0.13364518974677064</v>
      </c>
    </row>
    <row r="1070">
      <c r="A1070" s="3">
        <v>42708.0</v>
      </c>
      <c r="B1070" s="6">
        <v>0.13364518974677064</v>
      </c>
    </row>
    <row r="1071">
      <c r="A1071" s="3">
        <v>42709.0</v>
      </c>
      <c r="B1071" s="6">
        <v>0.13364518974677064</v>
      </c>
    </row>
    <row r="1072">
      <c r="A1072" s="3">
        <v>42710.0</v>
      </c>
      <c r="B1072" s="6">
        <v>0.13364518974677064</v>
      </c>
    </row>
    <row r="1073">
      <c r="A1073" s="3">
        <v>42711.0</v>
      </c>
      <c r="B1073" s="6">
        <v>0.13364518974677064</v>
      </c>
    </row>
    <row r="1074">
      <c r="A1074" s="3">
        <v>42712.0</v>
      </c>
      <c r="B1074" s="6">
        <v>0.13364518974677064</v>
      </c>
    </row>
    <row r="1075">
      <c r="A1075" s="3">
        <v>42713.0</v>
      </c>
      <c r="B1075" s="6">
        <v>0.13364518974677064</v>
      </c>
    </row>
    <row r="1076">
      <c r="A1076" s="3">
        <v>42714.0</v>
      </c>
      <c r="B1076" s="6">
        <v>0.13364518974677064</v>
      </c>
    </row>
    <row r="1077">
      <c r="A1077" s="3">
        <v>42715.0</v>
      </c>
      <c r="B1077" s="6">
        <v>0.13364518974677064</v>
      </c>
    </row>
    <row r="1078">
      <c r="A1078" s="3">
        <v>42716.0</v>
      </c>
      <c r="B1078" s="6">
        <v>0.13364518974677064</v>
      </c>
    </row>
    <row r="1079">
      <c r="A1079" s="3">
        <v>42717.0</v>
      </c>
      <c r="B1079" s="6">
        <v>0.13364518974677064</v>
      </c>
    </row>
    <row r="1080">
      <c r="A1080" s="3">
        <v>42718.0</v>
      </c>
      <c r="B1080" s="6">
        <v>0.13364518974677064</v>
      </c>
    </row>
    <row r="1081">
      <c r="A1081" s="3">
        <v>42719.0</v>
      </c>
      <c r="B1081" s="6">
        <v>0.13364518974677064</v>
      </c>
    </row>
    <row r="1082">
      <c r="A1082" s="3">
        <v>42720.0</v>
      </c>
      <c r="B1082" s="6">
        <v>0.13364518974677064</v>
      </c>
    </row>
    <row r="1083">
      <c r="A1083" s="3">
        <v>42721.0</v>
      </c>
      <c r="B1083" s="6">
        <v>0.13364518974677064</v>
      </c>
    </row>
    <row r="1084">
      <c r="A1084" s="3">
        <v>42722.0</v>
      </c>
      <c r="B1084" s="6">
        <v>0.13364518974677064</v>
      </c>
    </row>
    <row r="1085">
      <c r="A1085" s="3">
        <v>42723.0</v>
      </c>
      <c r="B1085" s="6">
        <v>0.13364518974677064</v>
      </c>
    </row>
    <row r="1086">
      <c r="A1086" s="3">
        <v>42724.0</v>
      </c>
      <c r="B1086" s="6">
        <v>0.13364518974677064</v>
      </c>
    </row>
    <row r="1087">
      <c r="A1087" s="3">
        <v>42725.0</v>
      </c>
      <c r="B1087" s="6">
        <v>0.13364518974677064</v>
      </c>
    </row>
    <row r="1088">
      <c r="A1088" s="3">
        <v>42726.0</v>
      </c>
      <c r="B1088" s="6">
        <v>0.13364518974677064</v>
      </c>
    </row>
    <row r="1089">
      <c r="A1089" s="3">
        <v>42727.0</v>
      </c>
      <c r="B1089" s="6">
        <v>0.13364518974677064</v>
      </c>
    </row>
    <row r="1090">
      <c r="A1090" s="3">
        <v>42728.0</v>
      </c>
      <c r="B1090" s="6">
        <v>0.13364518974677064</v>
      </c>
    </row>
    <row r="1091">
      <c r="A1091" s="3">
        <v>42729.0</v>
      </c>
      <c r="B1091" s="6">
        <v>0.13364518974677064</v>
      </c>
    </row>
    <row r="1092">
      <c r="A1092" s="3">
        <v>42730.0</v>
      </c>
      <c r="B1092" s="6">
        <v>0.13364518974677064</v>
      </c>
    </row>
    <row r="1093">
      <c r="A1093" s="3">
        <v>42731.0</v>
      </c>
      <c r="B1093" s="6">
        <v>0.13364518974677064</v>
      </c>
    </row>
    <row r="1094">
      <c r="A1094" s="3">
        <v>42732.0</v>
      </c>
      <c r="B1094" s="6">
        <v>0.13364518974677064</v>
      </c>
    </row>
    <row r="1095">
      <c r="A1095" s="3">
        <v>42733.0</v>
      </c>
      <c r="B1095" s="6">
        <v>0.13364518974677064</v>
      </c>
    </row>
    <row r="1096">
      <c r="A1096" s="3">
        <v>42734.0</v>
      </c>
      <c r="B1096" s="6">
        <v>0.13364518974677064</v>
      </c>
    </row>
    <row r="1097">
      <c r="A1097" s="3">
        <v>42735.0</v>
      </c>
      <c r="B1097" s="6">
        <v>0.13364518974677064</v>
      </c>
    </row>
    <row r="1098">
      <c r="A1098" s="3">
        <v>42736.0</v>
      </c>
      <c r="B1098" s="6">
        <v>0.1180445719548063</v>
      </c>
    </row>
    <row r="1099">
      <c r="A1099" s="3">
        <v>42737.0</v>
      </c>
      <c r="B1099" s="6">
        <v>0.1180445719548063</v>
      </c>
    </row>
    <row r="1100">
      <c r="A1100" s="3">
        <v>42738.0</v>
      </c>
      <c r="B1100" s="6">
        <v>0.1180445719548063</v>
      </c>
    </row>
    <row r="1101">
      <c r="A1101" s="3">
        <v>42739.0</v>
      </c>
      <c r="B1101" s="6">
        <v>0.1180445719548063</v>
      </c>
    </row>
    <row r="1102">
      <c r="A1102" s="3">
        <v>42740.0</v>
      </c>
      <c r="B1102" s="6">
        <v>0.1180445719548063</v>
      </c>
    </row>
    <row r="1103">
      <c r="A1103" s="3">
        <v>42741.0</v>
      </c>
      <c r="B1103" s="6">
        <v>0.1180445719548063</v>
      </c>
    </row>
    <row r="1104">
      <c r="A1104" s="3">
        <v>42742.0</v>
      </c>
      <c r="B1104" s="6">
        <v>0.1180445719548063</v>
      </c>
    </row>
    <row r="1105">
      <c r="A1105" s="3">
        <v>42743.0</v>
      </c>
      <c r="B1105" s="6">
        <v>0.1180445719548063</v>
      </c>
    </row>
    <row r="1106">
      <c r="A1106" s="3">
        <v>42744.0</v>
      </c>
      <c r="B1106" s="6">
        <v>0.1180445719548063</v>
      </c>
    </row>
    <row r="1107">
      <c r="A1107" s="3">
        <v>42745.0</v>
      </c>
      <c r="B1107" s="6">
        <v>0.1180445719548063</v>
      </c>
    </row>
    <row r="1108">
      <c r="A1108" s="3">
        <v>42746.0</v>
      </c>
      <c r="B1108" s="6">
        <v>0.1180445719548063</v>
      </c>
    </row>
    <row r="1109">
      <c r="A1109" s="3">
        <v>42747.0</v>
      </c>
      <c r="B1109" s="6">
        <v>0.1180445719548063</v>
      </c>
    </row>
    <row r="1110">
      <c r="A1110" s="3">
        <v>42748.0</v>
      </c>
      <c r="B1110" s="6">
        <v>0.1180445719548063</v>
      </c>
    </row>
    <row r="1111">
      <c r="A1111" s="3">
        <v>42749.0</v>
      </c>
      <c r="B1111" s="6">
        <v>0.1180445719548063</v>
      </c>
    </row>
    <row r="1112">
      <c r="A1112" s="3">
        <v>42750.0</v>
      </c>
      <c r="B1112" s="6">
        <v>0.1180445719548063</v>
      </c>
    </row>
    <row r="1113">
      <c r="A1113" s="3">
        <v>42751.0</v>
      </c>
      <c r="B1113" s="6">
        <v>0.1180445719548063</v>
      </c>
    </row>
    <row r="1114">
      <c r="A1114" s="3">
        <v>42752.0</v>
      </c>
      <c r="B1114" s="6">
        <v>0.1180445719548063</v>
      </c>
    </row>
    <row r="1115">
      <c r="A1115" s="3">
        <v>42753.0</v>
      </c>
      <c r="B1115" s="6">
        <v>0.1180445719548063</v>
      </c>
    </row>
    <row r="1116">
      <c r="A1116" s="3">
        <v>42754.0</v>
      </c>
      <c r="B1116" s="6">
        <v>0.1180445719548063</v>
      </c>
    </row>
    <row r="1117">
      <c r="A1117" s="3">
        <v>42755.0</v>
      </c>
      <c r="B1117" s="6">
        <v>0.1180445719548063</v>
      </c>
    </row>
    <row r="1118">
      <c r="A1118" s="3">
        <v>42756.0</v>
      </c>
      <c r="B1118" s="6">
        <v>0.1180445719548063</v>
      </c>
    </row>
    <row r="1119">
      <c r="A1119" s="3">
        <v>42757.0</v>
      </c>
      <c r="B1119" s="6">
        <v>0.1180445719548063</v>
      </c>
    </row>
    <row r="1120">
      <c r="A1120" s="3">
        <v>42758.0</v>
      </c>
      <c r="B1120" s="6">
        <v>0.1180445719548063</v>
      </c>
    </row>
    <row r="1121">
      <c r="A1121" s="3">
        <v>42759.0</v>
      </c>
      <c r="B1121" s="6">
        <v>0.1180445719548063</v>
      </c>
    </row>
    <row r="1122">
      <c r="A1122" s="3">
        <v>42760.0</v>
      </c>
      <c r="B1122" s="6">
        <v>0.1180445719548063</v>
      </c>
    </row>
    <row r="1123">
      <c r="A1123" s="3">
        <v>42761.0</v>
      </c>
      <c r="B1123" s="6">
        <v>0.1180445719548063</v>
      </c>
    </row>
    <row r="1124">
      <c r="A1124" s="3">
        <v>42762.0</v>
      </c>
      <c r="B1124" s="6">
        <v>0.1180445719548063</v>
      </c>
    </row>
    <row r="1125">
      <c r="A1125" s="3">
        <v>42763.0</v>
      </c>
      <c r="B1125" s="6">
        <v>0.1180445719548063</v>
      </c>
    </row>
    <row r="1126">
      <c r="A1126" s="3">
        <v>42764.0</v>
      </c>
      <c r="B1126" s="6">
        <v>0.1180445719548063</v>
      </c>
    </row>
    <row r="1127">
      <c r="A1127" s="3">
        <v>42765.0</v>
      </c>
      <c r="B1127" s="6">
        <v>0.1180445719548063</v>
      </c>
    </row>
    <row r="1128">
      <c r="A1128" s="3">
        <v>42766.0</v>
      </c>
      <c r="B1128" s="6">
        <v>0.1180445719548063</v>
      </c>
    </row>
    <row r="1129">
      <c r="A1129" s="3">
        <v>42767.0</v>
      </c>
      <c r="B1129" s="6">
        <v>0.1180445719548063</v>
      </c>
    </row>
    <row r="1130">
      <c r="A1130" s="3">
        <v>42768.0</v>
      </c>
      <c r="B1130" s="6">
        <v>0.1180445719548063</v>
      </c>
    </row>
    <row r="1131">
      <c r="A1131" s="3">
        <v>42769.0</v>
      </c>
      <c r="B1131" s="6">
        <v>0.1180445719548063</v>
      </c>
    </row>
    <row r="1132">
      <c r="A1132" s="3">
        <v>42770.0</v>
      </c>
      <c r="B1132" s="6">
        <v>0.1180445719548063</v>
      </c>
    </row>
    <row r="1133">
      <c r="A1133" s="3">
        <v>42771.0</v>
      </c>
      <c r="B1133" s="6">
        <v>0.1180445719548063</v>
      </c>
    </row>
    <row r="1134">
      <c r="A1134" s="3">
        <v>42772.0</v>
      </c>
      <c r="B1134" s="6">
        <v>0.1180445719548063</v>
      </c>
    </row>
    <row r="1135">
      <c r="A1135" s="3">
        <v>42773.0</v>
      </c>
      <c r="B1135" s="6">
        <v>0.1180445719548063</v>
      </c>
    </row>
    <row r="1136">
      <c r="A1136" s="3">
        <v>42774.0</v>
      </c>
      <c r="B1136" s="6">
        <v>0.1180445719548063</v>
      </c>
    </row>
    <row r="1137">
      <c r="A1137" s="3">
        <v>42775.0</v>
      </c>
      <c r="B1137" s="6">
        <v>0.1180445719548063</v>
      </c>
    </row>
    <row r="1138">
      <c r="A1138" s="3">
        <v>42776.0</v>
      </c>
      <c r="B1138" s="6">
        <v>0.1180445719548063</v>
      </c>
    </row>
    <row r="1139">
      <c r="A1139" s="3">
        <v>42777.0</v>
      </c>
      <c r="B1139" s="6">
        <v>0.1180445719548063</v>
      </c>
    </row>
    <row r="1140">
      <c r="A1140" s="3">
        <v>42778.0</v>
      </c>
      <c r="B1140" s="6">
        <v>0.1180445719548063</v>
      </c>
    </row>
    <row r="1141">
      <c r="A1141" s="3">
        <v>42779.0</v>
      </c>
      <c r="B1141" s="6">
        <v>0.1180445719548063</v>
      </c>
    </row>
    <row r="1142">
      <c r="A1142" s="3">
        <v>42780.0</v>
      </c>
      <c r="B1142" s="6">
        <v>0.1180445719548063</v>
      </c>
    </row>
    <row r="1143">
      <c r="A1143" s="3">
        <v>42781.0</v>
      </c>
      <c r="B1143" s="6">
        <v>0.1180445719548063</v>
      </c>
    </row>
    <row r="1144">
      <c r="A1144" s="3">
        <v>42782.0</v>
      </c>
      <c r="B1144" s="6">
        <v>0.1180445719548063</v>
      </c>
    </row>
    <row r="1145">
      <c r="A1145" s="3">
        <v>42783.0</v>
      </c>
      <c r="B1145" s="6">
        <v>0.1180445719548063</v>
      </c>
    </row>
    <row r="1146">
      <c r="A1146" s="3">
        <v>42784.0</v>
      </c>
      <c r="B1146" s="6">
        <v>0.1180445719548063</v>
      </c>
    </row>
    <row r="1147">
      <c r="A1147" s="3">
        <v>42785.0</v>
      </c>
      <c r="B1147" s="6">
        <v>0.1180445719548063</v>
      </c>
    </row>
    <row r="1148">
      <c r="A1148" s="3">
        <v>42786.0</v>
      </c>
      <c r="B1148" s="6">
        <v>0.1180445719548063</v>
      </c>
    </row>
    <row r="1149">
      <c r="A1149" s="3">
        <v>42787.0</v>
      </c>
      <c r="B1149" s="6">
        <v>0.1180445719548063</v>
      </c>
    </row>
    <row r="1150">
      <c r="A1150" s="3">
        <v>42788.0</v>
      </c>
      <c r="B1150" s="6">
        <v>0.1180445719548063</v>
      </c>
    </row>
    <row r="1151">
      <c r="A1151" s="3">
        <v>42789.0</v>
      </c>
      <c r="B1151" s="6">
        <v>0.1180445719548063</v>
      </c>
    </row>
    <row r="1152">
      <c r="A1152" s="3">
        <v>42790.0</v>
      </c>
      <c r="B1152" s="6">
        <v>0.1180445719548063</v>
      </c>
    </row>
    <row r="1153">
      <c r="A1153" s="3">
        <v>42791.0</v>
      </c>
      <c r="B1153" s="6">
        <v>0.1180445719548063</v>
      </c>
    </row>
    <row r="1154">
      <c r="A1154" s="3">
        <v>42792.0</v>
      </c>
      <c r="B1154" s="6">
        <v>0.1180445719548063</v>
      </c>
    </row>
    <row r="1155">
      <c r="A1155" s="3">
        <v>42793.0</v>
      </c>
      <c r="B1155" s="6">
        <v>0.1180445719548063</v>
      </c>
    </row>
    <row r="1156">
      <c r="A1156" s="3">
        <v>42794.0</v>
      </c>
      <c r="B1156" s="6">
        <v>0.1180445719548063</v>
      </c>
    </row>
    <row r="1157">
      <c r="A1157" s="3">
        <v>42795.0</v>
      </c>
      <c r="B1157" s="6">
        <v>0.1180445719548063</v>
      </c>
    </row>
    <row r="1158">
      <c r="A1158" s="3">
        <v>42796.0</v>
      </c>
      <c r="B1158" s="6">
        <v>0.1180445719548063</v>
      </c>
    </row>
    <row r="1159">
      <c r="A1159" s="3">
        <v>42797.0</v>
      </c>
      <c r="B1159" s="6">
        <v>0.1180445719548063</v>
      </c>
    </row>
    <row r="1160">
      <c r="A1160" s="3">
        <v>42798.0</v>
      </c>
      <c r="B1160" s="6">
        <v>0.1180445719548063</v>
      </c>
    </row>
    <row r="1161">
      <c r="A1161" s="3">
        <v>42799.0</v>
      </c>
      <c r="B1161" s="6">
        <v>0.1180445719548063</v>
      </c>
    </row>
    <row r="1162">
      <c r="A1162" s="3">
        <v>42800.0</v>
      </c>
      <c r="B1162" s="6">
        <v>0.1180445719548063</v>
      </c>
    </row>
    <row r="1163">
      <c r="A1163" s="3">
        <v>42801.0</v>
      </c>
      <c r="B1163" s="6">
        <v>0.1180445719548063</v>
      </c>
    </row>
    <row r="1164">
      <c r="A1164" s="3">
        <v>42802.0</v>
      </c>
      <c r="B1164" s="6">
        <v>0.1180445719548063</v>
      </c>
    </row>
    <row r="1165">
      <c r="A1165" s="3">
        <v>42803.0</v>
      </c>
      <c r="B1165" s="6">
        <v>0.1180445719548063</v>
      </c>
    </row>
    <row r="1166">
      <c r="A1166" s="3">
        <v>42804.0</v>
      </c>
      <c r="B1166" s="6">
        <v>0.1180445719548063</v>
      </c>
    </row>
    <row r="1167">
      <c r="A1167" s="3">
        <v>42805.0</v>
      </c>
      <c r="B1167" s="6">
        <v>0.1180445719548063</v>
      </c>
    </row>
    <row r="1168">
      <c r="A1168" s="3">
        <v>42806.0</v>
      </c>
      <c r="B1168" s="6">
        <v>0.1180445719548063</v>
      </c>
    </row>
    <row r="1169">
      <c r="A1169" s="3">
        <v>42807.0</v>
      </c>
      <c r="B1169" s="6">
        <v>0.1180445719548063</v>
      </c>
    </row>
    <row r="1170">
      <c r="A1170" s="3">
        <v>42808.0</v>
      </c>
      <c r="B1170" s="6">
        <v>0.1180445719548063</v>
      </c>
    </row>
    <row r="1171">
      <c r="A1171" s="3">
        <v>42809.0</v>
      </c>
      <c r="B1171" s="6">
        <v>0.1180445719548063</v>
      </c>
    </row>
    <row r="1172">
      <c r="A1172" s="3">
        <v>42810.0</v>
      </c>
      <c r="B1172" s="6">
        <v>0.1180445719548063</v>
      </c>
    </row>
    <row r="1173">
      <c r="A1173" s="3">
        <v>42811.0</v>
      </c>
      <c r="B1173" s="6">
        <v>0.1180445719548063</v>
      </c>
    </row>
    <row r="1174">
      <c r="A1174" s="3">
        <v>42812.0</v>
      </c>
      <c r="B1174" s="6">
        <v>0.1180445719548063</v>
      </c>
    </row>
    <row r="1175">
      <c r="A1175" s="3">
        <v>42813.0</v>
      </c>
      <c r="B1175" s="6">
        <v>0.1180445719548063</v>
      </c>
    </row>
    <row r="1176">
      <c r="A1176" s="3">
        <v>42814.0</v>
      </c>
      <c r="B1176" s="6">
        <v>0.1180445719548063</v>
      </c>
    </row>
    <row r="1177">
      <c r="A1177" s="3">
        <v>42815.0</v>
      </c>
      <c r="B1177" s="6">
        <v>0.1180445719548063</v>
      </c>
    </row>
    <row r="1178">
      <c r="A1178" s="3">
        <v>42816.0</v>
      </c>
      <c r="B1178" s="6">
        <v>0.1180445719548063</v>
      </c>
    </row>
    <row r="1179">
      <c r="A1179" s="3">
        <v>42817.0</v>
      </c>
      <c r="B1179" s="6">
        <v>0.1180445719548063</v>
      </c>
    </row>
    <row r="1180">
      <c r="A1180" s="3">
        <v>42818.0</v>
      </c>
      <c r="B1180" s="6">
        <v>0.1180445719548063</v>
      </c>
    </row>
    <row r="1181">
      <c r="A1181" s="3">
        <v>42819.0</v>
      </c>
      <c r="B1181" s="6">
        <v>0.1180445719548063</v>
      </c>
    </row>
    <row r="1182">
      <c r="A1182" s="3">
        <v>42820.0</v>
      </c>
      <c r="B1182" s="6">
        <v>0.1180445719548063</v>
      </c>
    </row>
    <row r="1183">
      <c r="A1183" s="3">
        <v>42821.0</v>
      </c>
      <c r="B1183" s="6">
        <v>0.1180445719548063</v>
      </c>
    </row>
    <row r="1184">
      <c r="A1184" s="3">
        <v>42822.0</v>
      </c>
      <c r="B1184" s="6">
        <v>0.1180445719548063</v>
      </c>
    </row>
    <row r="1185">
      <c r="A1185" s="3">
        <v>42823.0</v>
      </c>
      <c r="B1185" s="6">
        <v>0.1180445719548063</v>
      </c>
    </row>
    <row r="1186">
      <c r="A1186" s="3">
        <v>42824.0</v>
      </c>
      <c r="B1186" s="6">
        <v>0.1180445719548063</v>
      </c>
    </row>
    <row r="1187">
      <c r="A1187" s="3">
        <v>42825.0</v>
      </c>
      <c r="B1187" s="6">
        <v>0.1180445719548063</v>
      </c>
    </row>
    <row r="1188">
      <c r="A1188" s="3">
        <v>42826.0</v>
      </c>
      <c r="B1188" s="6">
        <v>0.1180445719548063</v>
      </c>
    </row>
    <row r="1189">
      <c r="A1189" s="3">
        <v>42827.0</v>
      </c>
      <c r="B1189" s="6">
        <v>0.1180445719548063</v>
      </c>
    </row>
    <row r="1190">
      <c r="A1190" s="3">
        <v>42828.0</v>
      </c>
      <c r="B1190" s="6">
        <v>0.1180445719548063</v>
      </c>
    </row>
    <row r="1191">
      <c r="A1191" s="3">
        <v>42829.0</v>
      </c>
      <c r="B1191" s="6">
        <v>0.1180445719548063</v>
      </c>
    </row>
    <row r="1192">
      <c r="A1192" s="3">
        <v>42830.0</v>
      </c>
      <c r="B1192" s="6">
        <v>0.1180445719548063</v>
      </c>
    </row>
    <row r="1193">
      <c r="A1193" s="3">
        <v>42831.0</v>
      </c>
      <c r="B1193" s="6">
        <v>0.1180445719548063</v>
      </c>
    </row>
    <row r="1194">
      <c r="A1194" s="3">
        <v>42832.0</v>
      </c>
      <c r="B1194" s="6">
        <v>0.1180445719548063</v>
      </c>
    </row>
    <row r="1195">
      <c r="A1195" s="3">
        <v>42833.0</v>
      </c>
      <c r="B1195" s="6">
        <v>0.1180445719548063</v>
      </c>
    </row>
    <row r="1196">
      <c r="A1196" s="3">
        <v>42834.0</v>
      </c>
      <c r="B1196" s="6">
        <v>0.1180445719548063</v>
      </c>
    </row>
    <row r="1197">
      <c r="A1197" s="3">
        <v>42835.0</v>
      </c>
      <c r="B1197" s="6">
        <v>0.1180445719548063</v>
      </c>
    </row>
    <row r="1198">
      <c r="A1198" s="3">
        <v>42836.0</v>
      </c>
      <c r="B1198" s="6">
        <v>0.1180445719548063</v>
      </c>
    </row>
    <row r="1199">
      <c r="A1199" s="3">
        <v>42837.0</v>
      </c>
      <c r="B1199" s="6">
        <v>0.1180445719548063</v>
      </c>
    </row>
    <row r="1200">
      <c r="A1200" s="3">
        <v>42838.0</v>
      </c>
      <c r="B1200" s="6">
        <v>0.1180445719548063</v>
      </c>
    </row>
    <row r="1201">
      <c r="A1201" s="3">
        <v>42839.0</v>
      </c>
      <c r="B1201" s="6">
        <v>0.1180445719548063</v>
      </c>
    </row>
    <row r="1202">
      <c r="A1202" s="3">
        <v>42840.0</v>
      </c>
      <c r="B1202" s="6">
        <v>0.1180445719548063</v>
      </c>
    </row>
    <row r="1203">
      <c r="A1203" s="3">
        <v>42841.0</v>
      </c>
      <c r="B1203" s="6">
        <v>0.1180445719548063</v>
      </c>
    </row>
    <row r="1204">
      <c r="A1204" s="3">
        <v>42842.0</v>
      </c>
      <c r="B1204" s="6">
        <v>0.1180445719548063</v>
      </c>
    </row>
    <row r="1205">
      <c r="A1205" s="3">
        <v>42843.0</v>
      </c>
      <c r="B1205" s="6">
        <v>0.1180445719548063</v>
      </c>
    </row>
    <row r="1206">
      <c r="A1206" s="3">
        <v>42844.0</v>
      </c>
      <c r="B1206" s="6">
        <v>0.1180445719548063</v>
      </c>
    </row>
    <row r="1207">
      <c r="A1207" s="3">
        <v>42845.0</v>
      </c>
      <c r="B1207" s="6">
        <v>0.1180445719548063</v>
      </c>
    </row>
    <row r="1208">
      <c r="A1208" s="3">
        <v>42846.0</v>
      </c>
      <c r="B1208" s="6">
        <v>0.1180445719548063</v>
      </c>
    </row>
    <row r="1209">
      <c r="A1209" s="3">
        <v>42847.0</v>
      </c>
      <c r="B1209" s="6">
        <v>0.1180445719548063</v>
      </c>
    </row>
    <row r="1210">
      <c r="A1210" s="3">
        <v>42848.0</v>
      </c>
      <c r="B1210" s="6">
        <v>0.1180445719548063</v>
      </c>
    </row>
    <row r="1211">
      <c r="A1211" s="3">
        <v>42849.0</v>
      </c>
      <c r="B1211" s="6">
        <v>0.1180445719548063</v>
      </c>
    </row>
    <row r="1212">
      <c r="A1212" s="3">
        <v>42850.0</v>
      </c>
      <c r="B1212" s="6">
        <v>0.1180445719548063</v>
      </c>
    </row>
    <row r="1213">
      <c r="A1213" s="3">
        <v>42851.0</v>
      </c>
      <c r="B1213" s="6">
        <v>0.1180445719548063</v>
      </c>
    </row>
    <row r="1214">
      <c r="A1214" s="3">
        <v>42852.0</v>
      </c>
      <c r="B1214" s="6">
        <v>0.1180445719548063</v>
      </c>
    </row>
    <row r="1215">
      <c r="A1215" s="3">
        <v>42853.0</v>
      </c>
      <c r="B1215" s="6">
        <v>0.1180445719548063</v>
      </c>
    </row>
    <row r="1216">
      <c r="A1216" s="3">
        <v>42854.0</v>
      </c>
      <c r="B1216" s="6">
        <v>0.1180445719548063</v>
      </c>
    </row>
    <row r="1217">
      <c r="A1217" s="3">
        <v>42855.0</v>
      </c>
      <c r="B1217" s="6">
        <v>0.1180445719548063</v>
      </c>
    </row>
    <row r="1218">
      <c r="A1218" s="3">
        <v>42856.0</v>
      </c>
      <c r="B1218" s="6">
        <v>0.1180445719548063</v>
      </c>
    </row>
    <row r="1219">
      <c r="A1219" s="3">
        <v>42857.0</v>
      </c>
      <c r="B1219" s="6">
        <v>0.1180445719548063</v>
      </c>
    </row>
    <row r="1220">
      <c r="A1220" s="3">
        <v>42858.0</v>
      </c>
      <c r="B1220" s="6">
        <v>0.1180445719548063</v>
      </c>
    </row>
    <row r="1221">
      <c r="A1221" s="3">
        <v>42859.0</v>
      </c>
      <c r="B1221" s="6">
        <v>0.1180445719548063</v>
      </c>
    </row>
    <row r="1222">
      <c r="A1222" s="3">
        <v>42860.0</v>
      </c>
      <c r="B1222" s="6">
        <v>0.1180445719548063</v>
      </c>
    </row>
    <row r="1223">
      <c r="A1223" s="3">
        <v>42861.0</v>
      </c>
      <c r="B1223" s="6">
        <v>0.1180445719548063</v>
      </c>
    </row>
    <row r="1224">
      <c r="A1224" s="3">
        <v>42862.0</v>
      </c>
      <c r="B1224" s="6">
        <v>0.1180445719548063</v>
      </c>
    </row>
    <row r="1225">
      <c r="A1225" s="3">
        <v>42863.0</v>
      </c>
      <c r="B1225" s="6">
        <v>0.1180445719548063</v>
      </c>
    </row>
    <row r="1226">
      <c r="A1226" s="3">
        <v>42864.0</v>
      </c>
      <c r="B1226" s="6">
        <v>0.1180445719548063</v>
      </c>
    </row>
    <row r="1227">
      <c r="A1227" s="3">
        <v>42865.0</v>
      </c>
      <c r="B1227" s="6">
        <v>0.1180445719548063</v>
      </c>
    </row>
    <row r="1228">
      <c r="A1228" s="3">
        <v>42866.0</v>
      </c>
      <c r="B1228" s="6">
        <v>0.1180445719548063</v>
      </c>
    </row>
    <row r="1229">
      <c r="A1229" s="3">
        <v>42867.0</v>
      </c>
      <c r="B1229" s="6">
        <v>0.1180445719548063</v>
      </c>
    </row>
    <row r="1230">
      <c r="A1230" s="3">
        <v>42868.0</v>
      </c>
      <c r="B1230" s="6">
        <v>0.1180445719548063</v>
      </c>
    </row>
    <row r="1231">
      <c r="A1231" s="3">
        <v>42869.0</v>
      </c>
      <c r="B1231" s="6">
        <v>0.1180445719548063</v>
      </c>
    </row>
    <row r="1232">
      <c r="A1232" s="3">
        <v>42870.0</v>
      </c>
      <c r="B1232" s="6">
        <v>0.1180445719548063</v>
      </c>
    </row>
    <row r="1233">
      <c r="A1233" s="3">
        <v>42871.0</v>
      </c>
      <c r="B1233" s="6">
        <v>0.1180445719548063</v>
      </c>
    </row>
    <row r="1234">
      <c r="A1234" s="3">
        <v>42872.0</v>
      </c>
      <c r="B1234" s="6">
        <v>0.1180445719548063</v>
      </c>
    </row>
    <row r="1235">
      <c r="A1235" s="3">
        <v>42873.0</v>
      </c>
      <c r="B1235" s="6">
        <v>0.1180445719548063</v>
      </c>
    </row>
    <row r="1236">
      <c r="A1236" s="3">
        <v>42874.0</v>
      </c>
      <c r="B1236" s="6">
        <v>0.1180445719548063</v>
      </c>
    </row>
    <row r="1237">
      <c r="A1237" s="3">
        <v>42875.0</v>
      </c>
      <c r="B1237" s="6">
        <v>0.1180445719548063</v>
      </c>
    </row>
    <row r="1238">
      <c r="A1238" s="3">
        <v>42876.0</v>
      </c>
      <c r="B1238" s="6">
        <v>0.1180445719548063</v>
      </c>
    </row>
    <row r="1239">
      <c r="A1239" s="3">
        <v>42877.0</v>
      </c>
      <c r="B1239" s="6">
        <v>0.1180445719548063</v>
      </c>
    </row>
    <row r="1240">
      <c r="A1240" s="3">
        <v>42878.0</v>
      </c>
      <c r="B1240" s="6">
        <v>0.1180445719548063</v>
      </c>
    </row>
    <row r="1241">
      <c r="A1241" s="3">
        <v>42879.0</v>
      </c>
      <c r="B1241" s="6">
        <v>0.1180445719548063</v>
      </c>
    </row>
    <row r="1242">
      <c r="A1242" s="3">
        <v>42880.0</v>
      </c>
      <c r="B1242" s="6">
        <v>0.1180445719548063</v>
      </c>
    </row>
    <row r="1243">
      <c r="A1243" s="3">
        <v>42881.0</v>
      </c>
      <c r="B1243" s="6">
        <v>0.1180445719548063</v>
      </c>
    </row>
    <row r="1244">
      <c r="A1244" s="3">
        <v>42882.0</v>
      </c>
      <c r="B1244" s="6">
        <v>0.1180445719548063</v>
      </c>
    </row>
    <row r="1245">
      <c r="A1245" s="3">
        <v>42883.0</v>
      </c>
      <c r="B1245" s="6">
        <v>0.1180445719548063</v>
      </c>
    </row>
    <row r="1246">
      <c r="A1246" s="3">
        <v>42884.0</v>
      </c>
      <c r="B1246" s="6">
        <v>0.1180445719548063</v>
      </c>
    </row>
    <row r="1247">
      <c r="A1247" s="3">
        <v>42885.0</v>
      </c>
      <c r="B1247" s="6">
        <v>0.1180445719548063</v>
      </c>
    </row>
    <row r="1248">
      <c r="A1248" s="3">
        <v>42886.0</v>
      </c>
      <c r="B1248" s="6">
        <v>0.1180445719548063</v>
      </c>
    </row>
    <row r="1249">
      <c r="A1249" s="3">
        <v>42887.0</v>
      </c>
      <c r="B1249" s="6">
        <v>0.1180445719548063</v>
      </c>
    </row>
    <row r="1250">
      <c r="A1250" s="3">
        <v>42888.0</v>
      </c>
      <c r="B1250" s="6">
        <v>0.1180445719548063</v>
      </c>
    </row>
    <row r="1251">
      <c r="A1251" s="3">
        <v>42889.0</v>
      </c>
      <c r="B1251" s="6">
        <v>0.1180445719548063</v>
      </c>
    </row>
    <row r="1252">
      <c r="A1252" s="3">
        <v>42890.0</v>
      </c>
      <c r="B1252" s="6">
        <v>0.1180445719548063</v>
      </c>
    </row>
    <row r="1253">
      <c r="A1253" s="3">
        <v>42891.0</v>
      </c>
      <c r="B1253" s="6">
        <v>0.1180445719548063</v>
      </c>
    </row>
    <row r="1254">
      <c r="A1254" s="3">
        <v>42892.0</v>
      </c>
      <c r="B1254" s="6">
        <v>0.1180445719548063</v>
      </c>
    </row>
    <row r="1255">
      <c r="A1255" s="3">
        <v>42893.0</v>
      </c>
      <c r="B1255" s="6">
        <v>0.1180445719548063</v>
      </c>
    </row>
    <row r="1256">
      <c r="A1256" s="3">
        <v>42894.0</v>
      </c>
      <c r="B1256" s="6">
        <v>0.1180445719548063</v>
      </c>
    </row>
    <row r="1257">
      <c r="A1257" s="3">
        <v>42895.0</v>
      </c>
      <c r="B1257" s="6">
        <v>0.1180445719548063</v>
      </c>
    </row>
    <row r="1258">
      <c r="A1258" s="3">
        <v>42896.0</v>
      </c>
      <c r="B1258" s="6">
        <v>0.1180445719548063</v>
      </c>
    </row>
    <row r="1259">
      <c r="A1259" s="3">
        <v>42897.0</v>
      </c>
      <c r="B1259" s="6">
        <v>0.1180445719548063</v>
      </c>
    </row>
    <row r="1260">
      <c r="A1260" s="3">
        <v>42898.0</v>
      </c>
      <c r="B1260" s="6">
        <v>0.1180445719548063</v>
      </c>
    </row>
    <row r="1261">
      <c r="A1261" s="3">
        <v>42899.0</v>
      </c>
      <c r="B1261" s="6">
        <v>0.1180445719548063</v>
      </c>
    </row>
    <row r="1262">
      <c r="A1262" s="3">
        <v>42900.0</v>
      </c>
      <c r="B1262" s="6">
        <v>0.1180445719548063</v>
      </c>
    </row>
    <row r="1263">
      <c r="A1263" s="3">
        <v>42901.0</v>
      </c>
      <c r="B1263" s="6">
        <v>0.1180445719548063</v>
      </c>
    </row>
    <row r="1264">
      <c r="A1264" s="3">
        <v>42902.0</v>
      </c>
      <c r="B1264" s="6">
        <v>0.1180445719548063</v>
      </c>
    </row>
    <row r="1265">
      <c r="A1265" s="3">
        <v>42903.0</v>
      </c>
      <c r="B1265" s="6">
        <v>0.1180445719548063</v>
      </c>
    </row>
    <row r="1266">
      <c r="A1266" s="3">
        <v>42904.0</v>
      </c>
      <c r="B1266" s="6">
        <v>0.1180445719548063</v>
      </c>
    </row>
    <row r="1267">
      <c r="A1267" s="3">
        <v>42905.0</v>
      </c>
      <c r="B1267" s="6">
        <v>0.1180445719548063</v>
      </c>
    </row>
    <row r="1268">
      <c r="A1268" s="3">
        <v>42906.0</v>
      </c>
      <c r="B1268" s="6">
        <v>0.1180445719548063</v>
      </c>
    </row>
    <row r="1269">
      <c r="A1269" s="3">
        <v>42907.0</v>
      </c>
      <c r="B1269" s="6">
        <v>0.1180445719548063</v>
      </c>
    </row>
    <row r="1270">
      <c r="A1270" s="3">
        <v>42908.0</v>
      </c>
      <c r="B1270" s="6">
        <v>0.1180445719548063</v>
      </c>
    </row>
    <row r="1271">
      <c r="A1271" s="3">
        <v>42909.0</v>
      </c>
      <c r="B1271" s="6">
        <v>0.1180445719548063</v>
      </c>
    </row>
    <row r="1272">
      <c r="A1272" s="3">
        <v>42910.0</v>
      </c>
      <c r="B1272" s="6">
        <v>0.1180445719548063</v>
      </c>
    </row>
    <row r="1273">
      <c r="A1273" s="3">
        <v>42911.0</v>
      </c>
      <c r="B1273" s="6">
        <v>0.1180445719548063</v>
      </c>
    </row>
    <row r="1274">
      <c r="A1274" s="3">
        <v>42912.0</v>
      </c>
      <c r="B1274" s="6">
        <v>0.1180445719548063</v>
      </c>
    </row>
    <row r="1275">
      <c r="A1275" s="3">
        <v>42913.0</v>
      </c>
      <c r="B1275" s="6">
        <v>0.1180445719548063</v>
      </c>
    </row>
    <row r="1276">
      <c r="A1276" s="3">
        <v>42914.0</v>
      </c>
      <c r="B1276" s="6">
        <v>0.1180445719548063</v>
      </c>
    </row>
    <row r="1277">
      <c r="A1277" s="3">
        <v>42915.0</v>
      </c>
      <c r="B1277" s="6">
        <v>0.1180445719548063</v>
      </c>
    </row>
    <row r="1278">
      <c r="A1278" s="3">
        <v>42916.0</v>
      </c>
      <c r="B1278" s="6">
        <v>0.1180445719548063</v>
      </c>
    </row>
    <row r="1279">
      <c r="A1279" s="3">
        <v>42917.0</v>
      </c>
      <c r="B1279" s="6">
        <v>0.10106066283450525</v>
      </c>
    </row>
    <row r="1280">
      <c r="A1280" s="3">
        <v>42918.0</v>
      </c>
      <c r="B1280" s="6">
        <v>0.10106066283450525</v>
      </c>
    </row>
    <row r="1281">
      <c r="A1281" s="3">
        <v>42919.0</v>
      </c>
      <c r="B1281" s="6">
        <v>0.10106066283450525</v>
      </c>
    </row>
    <row r="1282">
      <c r="A1282" s="3">
        <v>42920.0</v>
      </c>
      <c r="B1282" s="6">
        <v>0.10106066283450525</v>
      </c>
    </row>
    <row r="1283">
      <c r="A1283" s="3">
        <v>42921.0</v>
      </c>
      <c r="B1283" s="6">
        <v>0.10106066283450525</v>
      </c>
    </row>
    <row r="1284">
      <c r="A1284" s="3">
        <v>42922.0</v>
      </c>
      <c r="B1284" s="6">
        <v>0.10106066283450525</v>
      </c>
    </row>
    <row r="1285">
      <c r="A1285" s="3">
        <v>42923.0</v>
      </c>
      <c r="B1285" s="6">
        <v>0.10106066283450525</v>
      </c>
    </row>
    <row r="1286">
      <c r="A1286" s="3">
        <v>42924.0</v>
      </c>
      <c r="B1286" s="6">
        <v>0.10106066283450525</v>
      </c>
    </row>
    <row r="1287">
      <c r="A1287" s="3">
        <v>42925.0</v>
      </c>
      <c r="B1287" s="6">
        <v>0.10106066283450525</v>
      </c>
    </row>
    <row r="1288">
      <c r="A1288" s="3">
        <v>42926.0</v>
      </c>
      <c r="B1288" s="6">
        <v>0.10106066283450525</v>
      </c>
    </row>
    <row r="1289">
      <c r="A1289" s="3">
        <v>42927.0</v>
      </c>
      <c r="B1289" s="6">
        <v>0.10106066283450525</v>
      </c>
    </row>
    <row r="1290">
      <c r="A1290" s="3">
        <v>42928.0</v>
      </c>
      <c r="B1290" s="6">
        <v>0.10106066283450525</v>
      </c>
    </row>
    <row r="1291">
      <c r="A1291" s="3">
        <v>42929.0</v>
      </c>
      <c r="B1291" s="6">
        <v>0.10106066283450525</v>
      </c>
    </row>
    <row r="1292">
      <c r="A1292" s="3">
        <v>42930.0</v>
      </c>
      <c r="B1292" s="6">
        <v>0.10106066283450525</v>
      </c>
    </row>
    <row r="1293">
      <c r="A1293" s="3">
        <v>42931.0</v>
      </c>
      <c r="B1293" s="6">
        <v>0.10106066283450525</v>
      </c>
    </row>
    <row r="1294">
      <c r="A1294" s="3">
        <v>42932.0</v>
      </c>
      <c r="B1294" s="6">
        <v>0.10106066283450525</v>
      </c>
    </row>
    <row r="1295">
      <c r="A1295" s="3">
        <v>42933.0</v>
      </c>
      <c r="B1295" s="6">
        <v>0.10106066283450525</v>
      </c>
    </row>
    <row r="1296">
      <c r="A1296" s="3">
        <v>42934.0</v>
      </c>
      <c r="B1296" s="6">
        <v>0.10106066283450525</v>
      </c>
    </row>
    <row r="1297">
      <c r="A1297" s="3">
        <v>42935.0</v>
      </c>
      <c r="B1297" s="6">
        <v>0.10106066283450525</v>
      </c>
    </row>
    <row r="1298">
      <c r="A1298" s="3">
        <v>42936.0</v>
      </c>
      <c r="B1298" s="6">
        <v>0.10106066283450525</v>
      </c>
    </row>
    <row r="1299">
      <c r="A1299" s="3">
        <v>42937.0</v>
      </c>
      <c r="B1299" s="6">
        <v>0.10106066283450525</v>
      </c>
    </row>
    <row r="1300">
      <c r="A1300" s="3">
        <v>42938.0</v>
      </c>
      <c r="B1300" s="6">
        <v>0.10106066283450525</v>
      </c>
    </row>
    <row r="1301">
      <c r="A1301" s="3">
        <v>42939.0</v>
      </c>
      <c r="B1301" s="6">
        <v>0.10106066283450525</v>
      </c>
    </row>
    <row r="1302">
      <c r="A1302" s="3">
        <v>42940.0</v>
      </c>
      <c r="B1302" s="6">
        <v>0.10106066283450525</v>
      </c>
    </row>
    <row r="1303">
      <c r="A1303" s="3">
        <v>42941.0</v>
      </c>
      <c r="B1303" s="6">
        <v>0.10106066283450525</v>
      </c>
    </row>
    <row r="1304">
      <c r="A1304" s="3">
        <v>42942.0</v>
      </c>
      <c r="B1304" s="6">
        <v>0.10106066283450525</v>
      </c>
    </row>
    <row r="1305">
      <c r="A1305" s="3">
        <v>42943.0</v>
      </c>
      <c r="B1305" s="6">
        <v>0.10106066283450525</v>
      </c>
    </row>
    <row r="1306">
      <c r="A1306" s="3">
        <v>42944.0</v>
      </c>
      <c r="B1306" s="6">
        <v>0.10106066283450525</v>
      </c>
    </row>
    <row r="1307">
      <c r="A1307" s="3">
        <v>42945.0</v>
      </c>
      <c r="B1307" s="6">
        <v>0.10106066283450525</v>
      </c>
    </row>
    <row r="1308">
      <c r="A1308" s="3">
        <v>42946.0</v>
      </c>
      <c r="B1308" s="6">
        <v>0.10106066283450525</v>
      </c>
    </row>
    <row r="1309">
      <c r="A1309" s="3">
        <v>42947.0</v>
      </c>
      <c r="B1309" s="6">
        <v>0.10106066283450525</v>
      </c>
    </row>
    <row r="1310">
      <c r="A1310" s="3">
        <v>42948.0</v>
      </c>
      <c r="B1310" s="6">
        <v>0.10106066283450525</v>
      </c>
    </row>
    <row r="1311">
      <c r="A1311" s="3">
        <v>42949.0</v>
      </c>
      <c r="B1311" s="6">
        <v>0.10106066283450525</v>
      </c>
    </row>
    <row r="1312">
      <c r="A1312" s="3">
        <v>42950.0</v>
      </c>
      <c r="B1312" s="6">
        <v>0.10106066283450525</v>
      </c>
    </row>
    <row r="1313">
      <c r="A1313" s="3">
        <v>42951.0</v>
      </c>
      <c r="B1313" s="6">
        <v>0.10106066283450525</v>
      </c>
    </row>
    <row r="1314">
      <c r="A1314" s="3">
        <v>42952.0</v>
      </c>
      <c r="B1314" s="6">
        <v>0.10106066283450525</v>
      </c>
    </row>
    <row r="1315">
      <c r="A1315" s="3">
        <v>42953.0</v>
      </c>
      <c r="B1315" s="6">
        <v>0.10106066283450525</v>
      </c>
    </row>
    <row r="1316">
      <c r="A1316" s="3">
        <v>42954.0</v>
      </c>
      <c r="B1316" s="6">
        <v>0.10106066283450525</v>
      </c>
    </row>
    <row r="1317">
      <c r="A1317" s="3">
        <v>42955.0</v>
      </c>
      <c r="B1317" s="6">
        <v>0.10106066283450525</v>
      </c>
    </row>
    <row r="1318">
      <c r="A1318" s="3">
        <v>42956.0</v>
      </c>
      <c r="B1318" s="6">
        <v>0.10106066283450525</v>
      </c>
    </row>
    <row r="1319">
      <c r="A1319" s="3">
        <v>42957.0</v>
      </c>
      <c r="B1319" s="6">
        <v>0.10106066283450525</v>
      </c>
    </row>
    <row r="1320">
      <c r="A1320" s="3">
        <v>42958.0</v>
      </c>
      <c r="B1320" s="6">
        <v>0.10106066283450525</v>
      </c>
    </row>
    <row r="1321">
      <c r="A1321" s="3">
        <v>42959.0</v>
      </c>
      <c r="B1321" s="6">
        <v>0.10106066283450525</v>
      </c>
    </row>
    <row r="1322">
      <c r="A1322" s="3">
        <v>42960.0</v>
      </c>
      <c r="B1322" s="6">
        <v>0.10106066283450525</v>
      </c>
    </row>
    <row r="1323">
      <c r="A1323" s="3">
        <v>42961.0</v>
      </c>
      <c r="B1323" s="6">
        <v>0.10106066283450525</v>
      </c>
    </row>
    <row r="1324">
      <c r="A1324" s="3">
        <v>42962.0</v>
      </c>
      <c r="B1324" s="6">
        <v>0.10106066283450525</v>
      </c>
    </row>
    <row r="1325">
      <c r="A1325" s="3">
        <v>42963.0</v>
      </c>
      <c r="B1325" s="6">
        <v>0.10106066283450525</v>
      </c>
    </row>
    <row r="1326">
      <c r="A1326" s="3">
        <v>42964.0</v>
      </c>
      <c r="B1326" s="6">
        <v>0.10106066283450525</v>
      </c>
    </row>
    <row r="1327">
      <c r="A1327" s="3">
        <v>42965.0</v>
      </c>
      <c r="B1327" s="6">
        <v>0.10106066283450525</v>
      </c>
    </row>
    <row r="1328">
      <c r="A1328" s="3">
        <v>42966.0</v>
      </c>
      <c r="B1328" s="6">
        <v>0.10106066283450525</v>
      </c>
    </row>
    <row r="1329">
      <c r="A1329" s="3">
        <v>42967.0</v>
      </c>
      <c r="B1329" s="6">
        <v>0.10106066283450525</v>
      </c>
    </row>
    <row r="1330">
      <c r="A1330" s="3">
        <v>42968.0</v>
      </c>
      <c r="B1330" s="6">
        <v>0.10106066283450525</v>
      </c>
    </row>
    <row r="1331">
      <c r="A1331" s="3">
        <v>42969.0</v>
      </c>
      <c r="B1331" s="6">
        <v>0.10106066283450525</v>
      </c>
    </row>
    <row r="1332">
      <c r="A1332" s="3">
        <v>42970.0</v>
      </c>
      <c r="B1332" s="6">
        <v>0.10106066283450525</v>
      </c>
    </row>
    <row r="1333">
      <c r="A1333" s="3">
        <v>42971.0</v>
      </c>
      <c r="B1333" s="6">
        <v>0.10106066283450525</v>
      </c>
    </row>
    <row r="1334">
      <c r="A1334" s="3">
        <v>42972.0</v>
      </c>
      <c r="B1334" s="6">
        <v>0.10106066283450525</v>
      </c>
    </row>
    <row r="1335">
      <c r="A1335" s="3">
        <v>42973.0</v>
      </c>
      <c r="B1335" s="6">
        <v>0.10106066283450525</v>
      </c>
    </row>
    <row r="1336">
      <c r="A1336" s="3">
        <v>42974.0</v>
      </c>
      <c r="B1336" s="6">
        <v>0.10106066283450525</v>
      </c>
    </row>
    <row r="1337">
      <c r="A1337" s="3">
        <v>42975.0</v>
      </c>
      <c r="B1337" s="6">
        <v>0.10106066283450525</v>
      </c>
    </row>
    <row r="1338">
      <c r="A1338" s="3">
        <v>42976.0</v>
      </c>
      <c r="B1338" s="6">
        <v>0.10106066283450525</v>
      </c>
    </row>
    <row r="1339">
      <c r="A1339" s="3">
        <v>42977.0</v>
      </c>
      <c r="B1339" s="6">
        <v>0.10106066283450525</v>
      </c>
    </row>
    <row r="1340">
      <c r="A1340" s="3">
        <v>42978.0</v>
      </c>
      <c r="B1340" s="6">
        <v>0.10106066283450525</v>
      </c>
    </row>
    <row r="1341">
      <c r="A1341" s="3">
        <v>42979.0</v>
      </c>
      <c r="B1341" s="6">
        <v>0.10106066283450525</v>
      </c>
    </row>
    <row r="1342">
      <c r="A1342" s="3">
        <v>42980.0</v>
      </c>
      <c r="B1342" s="6">
        <v>0.10106066283450525</v>
      </c>
    </row>
    <row r="1343">
      <c r="A1343" s="3">
        <v>42981.0</v>
      </c>
      <c r="B1343" s="6">
        <v>0.10106066283450525</v>
      </c>
    </row>
    <row r="1344">
      <c r="A1344" s="3">
        <v>42982.0</v>
      </c>
      <c r="B1344" s="6">
        <v>0.10106066283450525</v>
      </c>
    </row>
    <row r="1345">
      <c r="A1345" s="3">
        <v>42983.0</v>
      </c>
      <c r="B1345" s="6">
        <v>0.10106066283450525</v>
      </c>
    </row>
    <row r="1346">
      <c r="A1346" s="3">
        <v>42984.0</v>
      </c>
      <c r="B1346" s="6">
        <v>0.10106066283450525</v>
      </c>
    </row>
    <row r="1347">
      <c r="A1347" s="3">
        <v>42985.0</v>
      </c>
      <c r="B1347" s="6">
        <v>0.10106066283450525</v>
      </c>
    </row>
    <row r="1348">
      <c r="A1348" s="3">
        <v>42986.0</v>
      </c>
      <c r="B1348" s="6">
        <v>0.10106066283450525</v>
      </c>
    </row>
    <row r="1349">
      <c r="A1349" s="3">
        <v>42987.0</v>
      </c>
      <c r="B1349" s="6">
        <v>0.10106066283450525</v>
      </c>
    </row>
    <row r="1350">
      <c r="A1350" s="3">
        <v>42988.0</v>
      </c>
      <c r="B1350" s="6">
        <v>0.10106066283450525</v>
      </c>
    </row>
    <row r="1351">
      <c r="A1351" s="3">
        <v>42989.0</v>
      </c>
      <c r="B1351" s="6">
        <v>0.10106066283450525</v>
      </c>
    </row>
    <row r="1352">
      <c r="A1352" s="3">
        <v>42990.0</v>
      </c>
      <c r="B1352" s="6">
        <v>0.10106066283450525</v>
      </c>
    </row>
    <row r="1353">
      <c r="A1353" s="3">
        <v>42991.0</v>
      </c>
      <c r="B1353" s="6">
        <v>0.10106066283450525</v>
      </c>
    </row>
    <row r="1354">
      <c r="A1354" s="3">
        <v>42992.0</v>
      </c>
      <c r="B1354" s="6">
        <v>0.10106066283450525</v>
      </c>
    </row>
    <row r="1355">
      <c r="A1355" s="3">
        <v>42993.0</v>
      </c>
      <c r="B1355" s="6">
        <v>0.10106066283450525</v>
      </c>
    </row>
    <row r="1356">
      <c r="A1356" s="3">
        <v>42994.0</v>
      </c>
      <c r="B1356" s="6">
        <v>0.10106066283450525</v>
      </c>
    </row>
    <row r="1357">
      <c r="A1357" s="3">
        <v>42995.0</v>
      </c>
      <c r="B1357" s="6">
        <v>0.10106066283450525</v>
      </c>
    </row>
    <row r="1358">
      <c r="A1358" s="3">
        <v>42996.0</v>
      </c>
      <c r="B1358" s="6">
        <v>0.10106066283450525</v>
      </c>
    </row>
    <row r="1359">
      <c r="A1359" s="3">
        <v>42997.0</v>
      </c>
      <c r="B1359" s="6">
        <v>0.10106066283450525</v>
      </c>
    </row>
    <row r="1360">
      <c r="A1360" s="3">
        <v>42998.0</v>
      </c>
      <c r="B1360" s="6">
        <v>0.10106066283450525</v>
      </c>
    </row>
    <row r="1361">
      <c r="A1361" s="3">
        <v>42999.0</v>
      </c>
      <c r="B1361" s="6">
        <v>0.10106066283450525</v>
      </c>
    </row>
    <row r="1362">
      <c r="A1362" s="3">
        <v>43000.0</v>
      </c>
      <c r="B1362" s="6">
        <v>0.10106066283450525</v>
      </c>
    </row>
    <row r="1363">
      <c r="A1363" s="3">
        <v>43001.0</v>
      </c>
      <c r="B1363" s="6">
        <v>0.10106066283450525</v>
      </c>
    </row>
    <row r="1364">
      <c r="A1364" s="3">
        <v>43002.0</v>
      </c>
      <c r="B1364" s="6">
        <v>0.10106066283450525</v>
      </c>
    </row>
    <row r="1365">
      <c r="A1365" s="3">
        <v>43003.0</v>
      </c>
      <c r="B1365" s="6">
        <v>0.10106066283450525</v>
      </c>
    </row>
    <row r="1366">
      <c r="A1366" s="3">
        <v>43004.0</v>
      </c>
      <c r="B1366" s="6">
        <v>0.10106066283450525</v>
      </c>
    </row>
    <row r="1367">
      <c r="A1367" s="3">
        <v>43005.0</v>
      </c>
      <c r="B1367" s="6">
        <v>0.10106066283450525</v>
      </c>
    </row>
    <row r="1368">
      <c r="A1368" s="3">
        <v>43006.0</v>
      </c>
      <c r="B1368" s="6">
        <v>0.10106066283450525</v>
      </c>
    </row>
    <row r="1369">
      <c r="A1369" s="3">
        <v>43007.0</v>
      </c>
      <c r="B1369" s="6">
        <v>0.10106066283450525</v>
      </c>
    </row>
    <row r="1370">
      <c r="A1370" s="3">
        <v>43008.0</v>
      </c>
      <c r="B1370" s="6">
        <v>0.10106066283450525</v>
      </c>
    </row>
    <row r="1371">
      <c r="A1371" s="3">
        <v>43009.0</v>
      </c>
      <c r="B1371" s="6">
        <v>0.10106066283450525</v>
      </c>
    </row>
    <row r="1372">
      <c r="A1372" s="3">
        <v>43010.0</v>
      </c>
      <c r="B1372" s="6">
        <v>0.10106066283450525</v>
      </c>
    </row>
    <row r="1373">
      <c r="A1373" s="3">
        <v>43011.0</v>
      </c>
      <c r="B1373" s="6">
        <v>0.10106066283450525</v>
      </c>
    </row>
    <row r="1374">
      <c r="A1374" s="3">
        <v>43012.0</v>
      </c>
      <c r="B1374" s="6">
        <v>0.10106066283450525</v>
      </c>
    </row>
    <row r="1375">
      <c r="A1375" s="3">
        <v>43013.0</v>
      </c>
      <c r="B1375" s="6">
        <v>0.10106066283450525</v>
      </c>
    </row>
    <row r="1376">
      <c r="A1376" s="3">
        <v>43014.0</v>
      </c>
      <c r="B1376" s="6">
        <v>0.10106066283450525</v>
      </c>
    </row>
    <row r="1377">
      <c r="A1377" s="3">
        <v>43015.0</v>
      </c>
      <c r="B1377" s="6">
        <v>0.10106066283450525</v>
      </c>
    </row>
    <row r="1378">
      <c r="A1378" s="3">
        <v>43016.0</v>
      </c>
      <c r="B1378" s="6">
        <v>0.10106066283450525</v>
      </c>
    </row>
    <row r="1379">
      <c r="A1379" s="3">
        <v>43017.0</v>
      </c>
      <c r="B1379" s="6">
        <v>0.10106066283450525</v>
      </c>
    </row>
    <row r="1380">
      <c r="A1380" s="3">
        <v>43018.0</v>
      </c>
      <c r="B1380" s="6">
        <v>0.10106066283450525</v>
      </c>
    </row>
    <row r="1381">
      <c r="A1381" s="3">
        <v>43019.0</v>
      </c>
      <c r="B1381" s="6">
        <v>0.10106066283450525</v>
      </c>
    </row>
    <row r="1382">
      <c r="A1382" s="3">
        <v>43020.0</v>
      </c>
      <c r="B1382" s="6">
        <v>0.10106066283450525</v>
      </c>
    </row>
    <row r="1383">
      <c r="A1383" s="3">
        <v>43021.0</v>
      </c>
      <c r="B1383" s="6">
        <v>0.10106066283450525</v>
      </c>
    </row>
    <row r="1384">
      <c r="A1384" s="3">
        <v>43022.0</v>
      </c>
      <c r="B1384" s="6">
        <v>0.10106066283450525</v>
      </c>
    </row>
    <row r="1385">
      <c r="A1385" s="3">
        <v>43023.0</v>
      </c>
      <c r="B1385" s="6">
        <v>0.10106066283450525</v>
      </c>
    </row>
    <row r="1386">
      <c r="A1386" s="3">
        <v>43024.0</v>
      </c>
      <c r="B1386" s="6">
        <v>0.10106066283450525</v>
      </c>
    </row>
    <row r="1387">
      <c r="A1387" s="3">
        <v>43025.0</v>
      </c>
      <c r="B1387" s="6">
        <v>0.10106066283450525</v>
      </c>
    </row>
    <row r="1388">
      <c r="A1388" s="3">
        <v>43026.0</v>
      </c>
      <c r="B1388" s="6">
        <v>0.10106066283450525</v>
      </c>
    </row>
    <row r="1389">
      <c r="A1389" s="3">
        <v>43027.0</v>
      </c>
      <c r="B1389" s="6">
        <v>0.10106066283450525</v>
      </c>
    </row>
    <row r="1390">
      <c r="A1390" s="3">
        <v>43028.0</v>
      </c>
      <c r="B1390" s="6">
        <v>0.10106066283450525</v>
      </c>
    </row>
    <row r="1391">
      <c r="A1391" s="3">
        <v>43029.0</v>
      </c>
      <c r="B1391" s="6">
        <v>0.10106066283450525</v>
      </c>
    </row>
    <row r="1392">
      <c r="A1392" s="3">
        <v>43030.0</v>
      </c>
      <c r="B1392" s="6">
        <v>0.10106066283450525</v>
      </c>
    </row>
    <row r="1393">
      <c r="A1393" s="3">
        <v>43031.0</v>
      </c>
      <c r="B1393" s="6">
        <v>0.10106066283450525</v>
      </c>
    </row>
    <row r="1394">
      <c r="A1394" s="3">
        <v>43032.0</v>
      </c>
      <c r="B1394" s="6">
        <v>0.10106066283450525</v>
      </c>
    </row>
    <row r="1395">
      <c r="A1395" s="3">
        <v>43033.0</v>
      </c>
      <c r="B1395" s="6">
        <v>0.10106066283450525</v>
      </c>
    </row>
    <row r="1396">
      <c r="A1396" s="3">
        <v>43034.0</v>
      </c>
      <c r="B1396" s="6">
        <v>0.10106066283450525</v>
      </c>
    </row>
    <row r="1397">
      <c r="A1397" s="3">
        <v>43035.0</v>
      </c>
      <c r="B1397" s="6">
        <v>0.10106066283450525</v>
      </c>
    </row>
    <row r="1398">
      <c r="A1398" s="3">
        <v>43036.0</v>
      </c>
      <c r="B1398" s="6">
        <v>0.10106066283450525</v>
      </c>
    </row>
    <row r="1399">
      <c r="A1399" s="3">
        <v>43037.0</v>
      </c>
      <c r="B1399" s="6">
        <v>0.10106066283450525</v>
      </c>
    </row>
    <row r="1400">
      <c r="A1400" s="3">
        <v>43038.0</v>
      </c>
      <c r="B1400" s="6">
        <v>0.10106066283450525</v>
      </c>
    </row>
    <row r="1401">
      <c r="A1401" s="3">
        <v>43039.0</v>
      </c>
      <c r="B1401" s="6">
        <v>0.10106066283450525</v>
      </c>
    </row>
    <row r="1402">
      <c r="A1402" s="3">
        <v>43040.0</v>
      </c>
      <c r="B1402" s="6">
        <v>0.10106066283450525</v>
      </c>
    </row>
    <row r="1403">
      <c r="A1403" s="3">
        <v>43041.0</v>
      </c>
      <c r="B1403" s="6">
        <v>0.10106066283450525</v>
      </c>
    </row>
    <row r="1404">
      <c r="A1404" s="3">
        <v>43042.0</v>
      </c>
      <c r="B1404" s="6">
        <v>0.10106066283450525</v>
      </c>
    </row>
    <row r="1405">
      <c r="A1405" s="3">
        <v>43043.0</v>
      </c>
      <c r="B1405" s="6">
        <v>0.10106066283450525</v>
      </c>
    </row>
    <row r="1406">
      <c r="A1406" s="3">
        <v>43044.0</v>
      </c>
      <c r="B1406" s="6">
        <v>0.10106066283450525</v>
      </c>
    </row>
    <row r="1407">
      <c r="A1407" s="3">
        <v>43045.0</v>
      </c>
      <c r="B1407" s="6">
        <v>0.10106066283450525</v>
      </c>
    </row>
    <row r="1408">
      <c r="A1408" s="3">
        <v>43046.0</v>
      </c>
      <c r="B1408" s="6">
        <v>0.10106066283450525</v>
      </c>
    </row>
    <row r="1409">
      <c r="A1409" s="3">
        <v>43047.0</v>
      </c>
      <c r="B1409" s="6">
        <v>0.10106066283450525</v>
      </c>
    </row>
    <row r="1410">
      <c r="A1410" s="3">
        <v>43048.0</v>
      </c>
      <c r="B1410" s="6">
        <v>0.10106066283450525</v>
      </c>
    </row>
    <row r="1411">
      <c r="A1411" s="3">
        <v>43049.0</v>
      </c>
      <c r="B1411" s="6">
        <v>0.10106066283450525</v>
      </c>
    </row>
    <row r="1412">
      <c r="A1412" s="3">
        <v>43050.0</v>
      </c>
      <c r="B1412" s="6">
        <v>0.10106066283450525</v>
      </c>
    </row>
    <row r="1413">
      <c r="A1413" s="3">
        <v>43051.0</v>
      </c>
      <c r="B1413" s="6">
        <v>0.10106066283450525</v>
      </c>
    </row>
    <row r="1414">
      <c r="A1414" s="3">
        <v>43052.0</v>
      </c>
      <c r="B1414" s="6">
        <v>0.10106066283450525</v>
      </c>
    </row>
    <row r="1415">
      <c r="A1415" s="3">
        <v>43053.0</v>
      </c>
      <c r="B1415" s="6">
        <v>0.10106066283450525</v>
      </c>
    </row>
    <row r="1416">
      <c r="A1416" s="3">
        <v>43054.0</v>
      </c>
      <c r="B1416" s="6">
        <v>0.10106066283450525</v>
      </c>
    </row>
    <row r="1417">
      <c r="A1417" s="3">
        <v>43055.0</v>
      </c>
      <c r="B1417" s="6">
        <v>0.10106066283450525</v>
      </c>
    </row>
    <row r="1418">
      <c r="A1418" s="3">
        <v>43056.0</v>
      </c>
      <c r="B1418" s="6">
        <v>0.10106066283450525</v>
      </c>
    </row>
    <row r="1419">
      <c r="A1419" s="3">
        <v>43057.0</v>
      </c>
      <c r="B1419" s="6">
        <v>0.10106066283450525</v>
      </c>
    </row>
    <row r="1420">
      <c r="A1420" s="3">
        <v>43058.0</v>
      </c>
      <c r="B1420" s="6">
        <v>0.10106066283450525</v>
      </c>
    </row>
    <row r="1421">
      <c r="A1421" s="3">
        <v>43059.0</v>
      </c>
      <c r="B1421" s="6">
        <v>0.10106066283450525</v>
      </c>
    </row>
    <row r="1422">
      <c r="A1422" s="3">
        <v>43060.0</v>
      </c>
      <c r="B1422" s="6">
        <v>0.10106066283450525</v>
      </c>
    </row>
    <row r="1423">
      <c r="A1423" s="3">
        <v>43061.0</v>
      </c>
      <c r="B1423" s="6">
        <v>0.10106066283450525</v>
      </c>
    </row>
    <row r="1424">
      <c r="A1424" s="3">
        <v>43062.0</v>
      </c>
      <c r="B1424" s="6">
        <v>0.10106066283450525</v>
      </c>
    </row>
    <row r="1425">
      <c r="A1425" s="3">
        <v>43063.0</v>
      </c>
      <c r="B1425" s="6">
        <v>0.10106066283450525</v>
      </c>
    </row>
    <row r="1426">
      <c r="A1426" s="3">
        <v>43064.0</v>
      </c>
      <c r="B1426" s="6">
        <v>0.10106066283450525</v>
      </c>
    </row>
    <row r="1427">
      <c r="A1427" s="3">
        <v>43065.0</v>
      </c>
      <c r="B1427" s="6">
        <v>0.10106066283450525</v>
      </c>
    </row>
    <row r="1428">
      <c r="A1428" s="3">
        <v>43066.0</v>
      </c>
      <c r="B1428" s="6">
        <v>0.10106066283450525</v>
      </c>
    </row>
    <row r="1429">
      <c r="A1429" s="3">
        <v>43067.0</v>
      </c>
      <c r="B1429" s="6">
        <v>0.10106066283450525</v>
      </c>
    </row>
    <row r="1430">
      <c r="A1430" s="3">
        <v>43068.0</v>
      </c>
      <c r="B1430" s="6">
        <v>0.10106066283450525</v>
      </c>
    </row>
    <row r="1431">
      <c r="A1431" s="3">
        <v>43069.0</v>
      </c>
      <c r="B1431" s="6">
        <v>0.10106066283450525</v>
      </c>
    </row>
    <row r="1432">
      <c r="A1432" s="3">
        <v>43070.0</v>
      </c>
      <c r="B1432" s="6">
        <v>0.10106066283450525</v>
      </c>
    </row>
    <row r="1433">
      <c r="A1433" s="3">
        <v>43071.0</v>
      </c>
      <c r="B1433" s="6">
        <v>0.10106066283450525</v>
      </c>
    </row>
    <row r="1434">
      <c r="A1434" s="3">
        <v>43072.0</v>
      </c>
      <c r="B1434" s="6">
        <v>0.10106066283450525</v>
      </c>
    </row>
    <row r="1435">
      <c r="A1435" s="3">
        <v>43073.0</v>
      </c>
      <c r="B1435" s="6">
        <v>0.10106066283450525</v>
      </c>
    </row>
    <row r="1436">
      <c r="A1436" s="3">
        <v>43074.0</v>
      </c>
      <c r="B1436" s="6">
        <v>0.10106066283450525</v>
      </c>
    </row>
    <row r="1437">
      <c r="A1437" s="3">
        <v>43075.0</v>
      </c>
      <c r="B1437" s="6">
        <v>0.10106066283450525</v>
      </c>
    </row>
    <row r="1438">
      <c r="A1438" s="3">
        <v>43076.0</v>
      </c>
      <c r="B1438" s="6">
        <v>0.10106066283450525</v>
      </c>
    </row>
    <row r="1439">
      <c r="A1439" s="3">
        <v>43077.0</v>
      </c>
      <c r="B1439" s="6">
        <v>0.10106066283450525</v>
      </c>
    </row>
    <row r="1440">
      <c r="A1440" s="3">
        <v>43078.0</v>
      </c>
      <c r="B1440" s="6">
        <v>0.10106066283450525</v>
      </c>
    </row>
    <row r="1441">
      <c r="A1441" s="3">
        <v>43079.0</v>
      </c>
      <c r="B1441" s="6">
        <v>0.10106066283450525</v>
      </c>
    </row>
    <row r="1442">
      <c r="A1442" s="3">
        <v>43080.0</v>
      </c>
      <c r="B1442" s="6">
        <v>0.10106066283450525</v>
      </c>
    </row>
    <row r="1443">
      <c r="A1443" s="3">
        <v>43081.0</v>
      </c>
      <c r="B1443" s="6">
        <v>0.10106066283450525</v>
      </c>
    </row>
    <row r="1444">
      <c r="A1444" s="3">
        <v>43082.0</v>
      </c>
      <c r="B1444" s="6">
        <v>0.10106066283450525</v>
      </c>
    </row>
    <row r="1445">
      <c r="A1445" s="3">
        <v>43083.0</v>
      </c>
      <c r="B1445" s="6">
        <v>0.10106066283450525</v>
      </c>
    </row>
    <row r="1446">
      <c r="A1446" s="3">
        <v>43084.0</v>
      </c>
      <c r="B1446" s="6">
        <v>0.10106066283450525</v>
      </c>
    </row>
    <row r="1447">
      <c r="A1447" s="3">
        <v>43085.0</v>
      </c>
      <c r="B1447" s="6">
        <v>0.10106066283450525</v>
      </c>
    </row>
    <row r="1448">
      <c r="A1448" s="3">
        <v>43086.0</v>
      </c>
      <c r="B1448" s="6">
        <v>0.10106066283450525</v>
      </c>
    </row>
    <row r="1449">
      <c r="A1449" s="3">
        <v>43087.0</v>
      </c>
      <c r="B1449" s="6">
        <v>0.10106066283450525</v>
      </c>
    </row>
    <row r="1450">
      <c r="A1450" s="3">
        <v>43088.0</v>
      </c>
      <c r="B1450" s="6">
        <v>0.10106066283450525</v>
      </c>
    </row>
    <row r="1451">
      <c r="A1451" s="3">
        <v>43089.0</v>
      </c>
      <c r="B1451" s="6">
        <v>0.10106066283450525</v>
      </c>
    </row>
    <row r="1452">
      <c r="A1452" s="3">
        <v>43090.0</v>
      </c>
      <c r="B1452" s="6">
        <v>0.10106066283450525</v>
      </c>
    </row>
    <row r="1453">
      <c r="A1453" s="3">
        <v>43091.0</v>
      </c>
      <c r="B1453" s="6">
        <v>0.10106066283450525</v>
      </c>
    </row>
    <row r="1454">
      <c r="A1454" s="3">
        <v>43092.0</v>
      </c>
      <c r="B1454" s="6">
        <v>0.10106066283450525</v>
      </c>
    </row>
    <row r="1455">
      <c r="A1455" s="3">
        <v>43093.0</v>
      </c>
      <c r="B1455" s="6">
        <v>0.10106066283450525</v>
      </c>
    </row>
    <row r="1456">
      <c r="A1456" s="3">
        <v>43094.0</v>
      </c>
      <c r="B1456" s="6">
        <v>0.10106066283450525</v>
      </c>
    </row>
    <row r="1457">
      <c r="A1457" s="3">
        <v>43095.0</v>
      </c>
      <c r="B1457" s="6">
        <v>0.10106066283450525</v>
      </c>
    </row>
    <row r="1458">
      <c r="A1458" s="3">
        <v>43096.0</v>
      </c>
      <c r="B1458" s="6">
        <v>0.10106066283450525</v>
      </c>
    </row>
    <row r="1459">
      <c r="A1459" s="3">
        <v>43097.0</v>
      </c>
      <c r="B1459" s="6">
        <v>0.10106066283450525</v>
      </c>
    </row>
    <row r="1460">
      <c r="A1460" s="3">
        <v>43098.0</v>
      </c>
      <c r="B1460" s="6">
        <v>0.10106066283450525</v>
      </c>
    </row>
    <row r="1461">
      <c r="A1461" s="3">
        <v>43099.0</v>
      </c>
      <c r="B1461" s="6">
        <v>0.10106066283450525</v>
      </c>
    </row>
    <row r="1462">
      <c r="A1462" s="3">
        <v>43100.0</v>
      </c>
      <c r="B1462" s="6">
        <v>0.10106066283450525</v>
      </c>
    </row>
    <row r="1463">
      <c r="A1463" s="3">
        <v>43101.0</v>
      </c>
      <c r="B1463" s="6">
        <v>0.11602953635839477</v>
      </c>
    </row>
    <row r="1464">
      <c r="A1464" s="3">
        <v>43102.0</v>
      </c>
      <c r="B1464" s="6">
        <v>0.11602953635839477</v>
      </c>
    </row>
    <row r="1465">
      <c r="A1465" s="3">
        <v>43103.0</v>
      </c>
      <c r="B1465" s="6">
        <v>0.11602953635839477</v>
      </c>
    </row>
    <row r="1466">
      <c r="A1466" s="3">
        <v>43104.0</v>
      </c>
      <c r="B1466" s="6">
        <v>0.11602953635839477</v>
      </c>
    </row>
    <row r="1467">
      <c r="A1467" s="3">
        <v>43105.0</v>
      </c>
      <c r="B1467" s="6">
        <v>0.11602953635839477</v>
      </c>
    </row>
    <row r="1468">
      <c r="A1468" s="3">
        <v>43106.0</v>
      </c>
      <c r="B1468" s="6">
        <v>0.11602953635839477</v>
      </c>
    </row>
    <row r="1469">
      <c r="A1469" s="3">
        <v>43107.0</v>
      </c>
      <c r="B1469" s="6">
        <v>0.11602953635839477</v>
      </c>
    </row>
    <row r="1470">
      <c r="A1470" s="3">
        <v>43108.0</v>
      </c>
      <c r="B1470" s="6">
        <v>0.11602953635839477</v>
      </c>
    </row>
    <row r="1471">
      <c r="A1471" s="3">
        <v>43109.0</v>
      </c>
      <c r="B1471" s="6">
        <v>0.11602953635839477</v>
      </c>
    </row>
    <row r="1472">
      <c r="A1472" s="3">
        <v>43110.0</v>
      </c>
      <c r="B1472" s="6">
        <v>0.11602953635839477</v>
      </c>
    </row>
    <row r="1473">
      <c r="A1473" s="3">
        <v>43111.0</v>
      </c>
      <c r="B1473" s="6">
        <v>0.11602953635839477</v>
      </c>
    </row>
    <row r="1474">
      <c r="A1474" s="3">
        <v>43112.0</v>
      </c>
      <c r="B1474" s="6">
        <v>0.11602953635839477</v>
      </c>
    </row>
    <row r="1475">
      <c r="A1475" s="3">
        <v>43113.0</v>
      </c>
      <c r="B1475" s="6">
        <v>0.11602953635839477</v>
      </c>
    </row>
    <row r="1476">
      <c r="A1476" s="3">
        <v>43114.0</v>
      </c>
      <c r="B1476" s="6">
        <v>0.11602953635839477</v>
      </c>
    </row>
    <row r="1477">
      <c r="A1477" s="3">
        <v>43115.0</v>
      </c>
      <c r="B1477" s="6">
        <v>0.11602953635839477</v>
      </c>
    </row>
    <row r="1478">
      <c r="A1478" s="3">
        <v>43116.0</v>
      </c>
      <c r="B1478" s="6">
        <v>0.11602953635839477</v>
      </c>
    </row>
    <row r="1479">
      <c r="A1479" s="3">
        <v>43117.0</v>
      </c>
      <c r="B1479" s="6">
        <v>0.11602953635839477</v>
      </c>
    </row>
    <row r="1480">
      <c r="A1480" s="3">
        <v>43118.0</v>
      </c>
      <c r="B1480" s="6">
        <v>0.11602953635839477</v>
      </c>
    </row>
    <row r="1481">
      <c r="A1481" s="3">
        <v>43119.0</v>
      </c>
      <c r="B1481" s="6">
        <v>0.11602953635839477</v>
      </c>
    </row>
    <row r="1482">
      <c r="A1482" s="3">
        <v>43120.0</v>
      </c>
      <c r="B1482" s="6">
        <v>0.11602953635839477</v>
      </c>
    </row>
    <row r="1483">
      <c r="A1483" s="3">
        <v>43121.0</v>
      </c>
      <c r="B1483" s="6">
        <v>0.11602953635839477</v>
      </c>
    </row>
    <row r="1484">
      <c r="A1484" s="3">
        <v>43122.0</v>
      </c>
      <c r="B1484" s="6">
        <v>0.11602953635839477</v>
      </c>
    </row>
    <row r="1485">
      <c r="A1485" s="3">
        <v>43123.0</v>
      </c>
      <c r="B1485" s="6">
        <v>0.11602953635839477</v>
      </c>
    </row>
    <row r="1486">
      <c r="A1486" s="3">
        <v>43124.0</v>
      </c>
      <c r="B1486" s="6">
        <v>0.11602953635839477</v>
      </c>
    </row>
    <row r="1487">
      <c r="A1487" s="3">
        <v>43125.0</v>
      </c>
      <c r="B1487" s="6">
        <v>0.11602953635839477</v>
      </c>
    </row>
    <row r="1488">
      <c r="A1488" s="3">
        <v>43126.0</v>
      </c>
      <c r="B1488" s="6">
        <v>0.11602953635839477</v>
      </c>
    </row>
    <row r="1489">
      <c r="A1489" s="3">
        <v>43127.0</v>
      </c>
      <c r="B1489" s="6">
        <v>0.11602953635839477</v>
      </c>
    </row>
    <row r="1490">
      <c r="A1490" s="3">
        <v>43128.0</v>
      </c>
      <c r="B1490" s="6">
        <v>0.11602953635839477</v>
      </c>
    </row>
    <row r="1491">
      <c r="A1491" s="3">
        <v>43129.0</v>
      </c>
      <c r="B1491" s="6">
        <v>0.11602953635839477</v>
      </c>
    </row>
    <row r="1492">
      <c r="A1492" s="3">
        <v>43130.0</v>
      </c>
      <c r="B1492" s="6">
        <v>0.11602953635839477</v>
      </c>
    </row>
    <row r="1493">
      <c r="A1493" s="3">
        <v>43131.0</v>
      </c>
      <c r="B1493" s="6">
        <v>0.11602953635839477</v>
      </c>
    </row>
    <row r="1494">
      <c r="A1494" s="3">
        <v>43132.0</v>
      </c>
      <c r="B1494" s="6">
        <v>0.11602953635839477</v>
      </c>
    </row>
    <row r="1495">
      <c r="A1495" s="3">
        <v>43133.0</v>
      </c>
      <c r="B1495" s="6">
        <v>0.11602953635839477</v>
      </c>
    </row>
    <row r="1496">
      <c r="A1496" s="3">
        <v>43134.0</v>
      </c>
      <c r="B1496" s="6">
        <v>0.11602953635839477</v>
      </c>
    </row>
    <row r="1497">
      <c r="A1497" s="3">
        <v>43135.0</v>
      </c>
      <c r="B1497" s="6">
        <v>0.11602953635839477</v>
      </c>
    </row>
    <row r="1498">
      <c r="A1498" s="3">
        <v>43136.0</v>
      </c>
      <c r="B1498" s="6">
        <v>0.11602953635839477</v>
      </c>
    </row>
    <row r="1499">
      <c r="A1499" s="3">
        <v>43137.0</v>
      </c>
      <c r="B1499" s="6">
        <v>0.11602953635839477</v>
      </c>
    </row>
    <row r="1500">
      <c r="A1500" s="3">
        <v>43138.0</v>
      </c>
      <c r="B1500" s="6">
        <v>0.11602953635839477</v>
      </c>
    </row>
    <row r="1501">
      <c r="A1501" s="3">
        <v>43139.0</v>
      </c>
      <c r="B1501" s="6">
        <v>0.11602953635839477</v>
      </c>
    </row>
    <row r="1502">
      <c r="A1502" s="3">
        <v>43140.0</v>
      </c>
      <c r="B1502" s="6">
        <v>0.11602953635839477</v>
      </c>
    </row>
    <row r="1503">
      <c r="A1503" s="3">
        <v>43141.0</v>
      </c>
      <c r="B1503" s="6">
        <v>0.11602953635839477</v>
      </c>
    </row>
    <row r="1504">
      <c r="A1504" s="3">
        <v>43142.0</v>
      </c>
      <c r="B1504" s="6">
        <v>0.11602953635839477</v>
      </c>
    </row>
    <row r="1505">
      <c r="A1505" s="3">
        <v>43143.0</v>
      </c>
      <c r="B1505" s="6">
        <v>0.11602953635839477</v>
      </c>
    </row>
    <row r="1506">
      <c r="A1506" s="3">
        <v>43144.0</v>
      </c>
      <c r="B1506" s="6">
        <v>0.11602953635839477</v>
      </c>
    </row>
    <row r="1507">
      <c r="A1507" s="3">
        <v>43145.0</v>
      </c>
      <c r="B1507" s="6">
        <v>0.11602953635839477</v>
      </c>
    </row>
    <row r="1508">
      <c r="A1508" s="3">
        <v>43146.0</v>
      </c>
      <c r="B1508" s="6">
        <v>0.11602953635839477</v>
      </c>
    </row>
    <row r="1509">
      <c r="A1509" s="3">
        <v>43147.0</v>
      </c>
      <c r="B1509" s="6">
        <v>0.11602953635839477</v>
      </c>
    </row>
    <row r="1510">
      <c r="A1510" s="3">
        <v>43148.0</v>
      </c>
      <c r="B1510" s="6">
        <v>0.11602953635839477</v>
      </c>
    </row>
    <row r="1511">
      <c r="A1511" s="3">
        <v>43149.0</v>
      </c>
      <c r="B1511" s="6">
        <v>0.11602953635839477</v>
      </c>
    </row>
    <row r="1512">
      <c r="A1512" s="3">
        <v>43150.0</v>
      </c>
      <c r="B1512" s="6">
        <v>0.11602953635839477</v>
      </c>
    </row>
    <row r="1513">
      <c r="A1513" s="3">
        <v>43151.0</v>
      </c>
      <c r="B1513" s="6">
        <v>0.11602953635839477</v>
      </c>
    </row>
    <row r="1514">
      <c r="A1514" s="3">
        <v>43152.0</v>
      </c>
      <c r="B1514" s="6">
        <v>0.11602953635839477</v>
      </c>
    </row>
    <row r="1515">
      <c r="A1515" s="3">
        <v>43153.0</v>
      </c>
      <c r="B1515" s="6">
        <v>0.11602953635839477</v>
      </c>
    </row>
    <row r="1516">
      <c r="A1516" s="3">
        <v>43154.0</v>
      </c>
      <c r="B1516" s="6">
        <v>0.11602953635839477</v>
      </c>
    </row>
    <row r="1517">
      <c r="A1517" s="3">
        <v>43155.0</v>
      </c>
      <c r="B1517" s="6">
        <v>0.11602953635839477</v>
      </c>
    </row>
    <row r="1518">
      <c r="A1518" s="3">
        <v>43156.0</v>
      </c>
      <c r="B1518" s="6">
        <v>0.11602953635839477</v>
      </c>
    </row>
    <row r="1519">
      <c r="A1519" s="3">
        <v>43157.0</v>
      </c>
      <c r="B1519" s="6">
        <v>0.11602953635839477</v>
      </c>
    </row>
    <row r="1520">
      <c r="A1520" s="3">
        <v>43158.0</v>
      </c>
      <c r="B1520" s="6">
        <v>0.11602953635839477</v>
      </c>
    </row>
    <row r="1521">
      <c r="A1521" s="3">
        <v>43159.0</v>
      </c>
      <c r="B1521" s="6">
        <v>0.11602953635839477</v>
      </c>
    </row>
    <row r="1522">
      <c r="A1522" s="3">
        <v>43160.0</v>
      </c>
      <c r="B1522" s="6">
        <v>0.11602953635839477</v>
      </c>
    </row>
    <row r="1523">
      <c r="A1523" s="3">
        <v>43161.0</v>
      </c>
      <c r="B1523" s="6">
        <v>0.11602953635839477</v>
      </c>
    </row>
    <row r="1524">
      <c r="A1524" s="3">
        <v>43162.0</v>
      </c>
      <c r="B1524" s="6">
        <v>0.11602953635839477</v>
      </c>
    </row>
    <row r="1525">
      <c r="A1525" s="3">
        <v>43163.0</v>
      </c>
      <c r="B1525" s="6">
        <v>0.11602953635839477</v>
      </c>
    </row>
    <row r="1526">
      <c r="A1526" s="3">
        <v>43164.0</v>
      </c>
      <c r="B1526" s="6">
        <v>0.11602953635839477</v>
      </c>
    </row>
    <row r="1527">
      <c r="A1527" s="3">
        <v>43165.0</v>
      </c>
      <c r="B1527" s="6">
        <v>0.11602953635839477</v>
      </c>
    </row>
    <row r="1528">
      <c r="A1528" s="3">
        <v>43166.0</v>
      </c>
      <c r="B1528" s="6">
        <v>0.11602953635839477</v>
      </c>
    </row>
    <row r="1529">
      <c r="A1529" s="3">
        <v>43167.0</v>
      </c>
      <c r="B1529" s="6">
        <v>0.11602953635839477</v>
      </c>
    </row>
    <row r="1530">
      <c r="A1530" s="3">
        <v>43168.0</v>
      </c>
      <c r="B1530" s="6">
        <v>0.11602953635839477</v>
      </c>
    </row>
    <row r="1531">
      <c r="A1531" s="3">
        <v>43169.0</v>
      </c>
      <c r="B1531" s="6">
        <v>0.11602953635839477</v>
      </c>
    </row>
    <row r="1532">
      <c r="A1532" s="3">
        <v>43170.0</v>
      </c>
      <c r="B1532" s="6">
        <v>0.11602953635839477</v>
      </c>
    </row>
    <row r="1533">
      <c r="A1533" s="3">
        <v>43171.0</v>
      </c>
      <c r="B1533" s="6">
        <v>0.11602953635839477</v>
      </c>
    </row>
    <row r="1534">
      <c r="A1534" s="3">
        <v>43172.0</v>
      </c>
      <c r="B1534" s="6">
        <v>0.11602953635839477</v>
      </c>
    </row>
    <row r="1535">
      <c r="A1535" s="3">
        <v>43173.0</v>
      </c>
      <c r="B1535" s="6">
        <v>0.11602953635839477</v>
      </c>
    </row>
    <row r="1536">
      <c r="A1536" s="3">
        <v>43174.0</v>
      </c>
      <c r="B1536" s="6">
        <v>0.11602953635839477</v>
      </c>
    </row>
    <row r="1537">
      <c r="A1537" s="3">
        <v>43175.0</v>
      </c>
      <c r="B1537" s="6">
        <v>0.11602953635839477</v>
      </c>
    </row>
    <row r="1538">
      <c r="A1538" s="3">
        <v>43176.0</v>
      </c>
      <c r="B1538" s="6">
        <v>0.11602953635839477</v>
      </c>
    </row>
    <row r="1539">
      <c r="A1539" s="3">
        <v>43177.0</v>
      </c>
      <c r="B1539" s="6">
        <v>0.11602953635839477</v>
      </c>
    </row>
    <row r="1540">
      <c r="A1540" s="3">
        <v>43178.0</v>
      </c>
      <c r="B1540" s="6">
        <v>0.11602953635839477</v>
      </c>
    </row>
    <row r="1541">
      <c r="A1541" s="3">
        <v>43179.0</v>
      </c>
      <c r="B1541" s="6">
        <v>0.11602953635839477</v>
      </c>
    </row>
    <row r="1542">
      <c r="A1542" s="3">
        <v>43180.0</v>
      </c>
      <c r="B1542" s="6">
        <v>0.11602953635839477</v>
      </c>
    </row>
    <row r="1543">
      <c r="A1543" s="3">
        <v>43181.0</v>
      </c>
      <c r="B1543" s="6">
        <v>0.11602953635839477</v>
      </c>
    </row>
    <row r="1544">
      <c r="A1544" s="3">
        <v>43182.0</v>
      </c>
      <c r="B1544" s="6">
        <v>0.11602953635839477</v>
      </c>
    </row>
    <row r="1545">
      <c r="A1545" s="3">
        <v>43183.0</v>
      </c>
      <c r="B1545" s="6">
        <v>0.11602953635839477</v>
      </c>
    </row>
    <row r="1546">
      <c r="A1546" s="3">
        <v>43184.0</v>
      </c>
      <c r="B1546" s="6">
        <v>0.11602953635839477</v>
      </c>
    </row>
    <row r="1547">
      <c r="A1547" s="3">
        <v>43185.0</v>
      </c>
      <c r="B1547" s="6">
        <v>0.11602953635839477</v>
      </c>
    </row>
    <row r="1548">
      <c r="A1548" s="3">
        <v>43186.0</v>
      </c>
      <c r="B1548" s="6">
        <v>0.11602953635839477</v>
      </c>
    </row>
    <row r="1549">
      <c r="A1549" s="3">
        <v>43187.0</v>
      </c>
      <c r="B1549" s="6">
        <v>0.11602953635839477</v>
      </c>
    </row>
    <row r="1550">
      <c r="A1550" s="3">
        <v>43188.0</v>
      </c>
      <c r="B1550" s="6">
        <v>0.11602953635839477</v>
      </c>
    </row>
    <row r="1551">
      <c r="A1551" s="3">
        <v>43189.0</v>
      </c>
      <c r="B1551" s="6">
        <v>0.11602953635839477</v>
      </c>
    </row>
    <row r="1552">
      <c r="A1552" s="3">
        <v>43190.0</v>
      </c>
      <c r="B1552" s="6">
        <v>0.11602953635839477</v>
      </c>
    </row>
    <row r="1553">
      <c r="A1553" s="3">
        <v>43191.0</v>
      </c>
      <c r="B1553" s="6">
        <v>0.11602953635839477</v>
      </c>
    </row>
    <row r="1554">
      <c r="A1554" s="3">
        <v>43192.0</v>
      </c>
      <c r="B1554" s="6">
        <v>0.11602953635839477</v>
      </c>
    </row>
    <row r="1555">
      <c r="A1555" s="3">
        <v>43193.0</v>
      </c>
      <c r="B1555" s="6">
        <v>0.11602953635839477</v>
      </c>
    </row>
    <row r="1556">
      <c r="A1556" s="3">
        <v>43194.0</v>
      </c>
      <c r="B1556" s="6">
        <v>0.11602953635839477</v>
      </c>
    </row>
    <row r="1557">
      <c r="A1557" s="3">
        <v>43195.0</v>
      </c>
      <c r="B1557" s="6">
        <v>0.11602953635839477</v>
      </c>
    </row>
    <row r="1558">
      <c r="A1558" s="3">
        <v>43196.0</v>
      </c>
      <c r="B1558" s="6">
        <v>0.11602953635839477</v>
      </c>
    </row>
    <row r="1559">
      <c r="A1559" s="3">
        <v>43197.0</v>
      </c>
      <c r="B1559" s="6">
        <v>0.11602953635839477</v>
      </c>
    </row>
    <row r="1560">
      <c r="A1560" s="3">
        <v>43198.0</v>
      </c>
      <c r="B1560" s="6">
        <v>0.11602953635839477</v>
      </c>
    </row>
    <row r="1561">
      <c r="A1561" s="3">
        <v>43199.0</v>
      </c>
      <c r="B1561" s="6">
        <v>0.11602953635839477</v>
      </c>
    </row>
    <row r="1562">
      <c r="A1562" s="3">
        <v>43200.0</v>
      </c>
      <c r="B1562" s="6">
        <v>0.11602953635839477</v>
      </c>
    </row>
    <row r="1563">
      <c r="A1563" s="3">
        <v>43201.0</v>
      </c>
      <c r="B1563" s="6">
        <v>0.11602953635839477</v>
      </c>
    </row>
    <row r="1564">
      <c r="A1564" s="3">
        <v>43202.0</v>
      </c>
      <c r="B1564" s="6">
        <v>0.11602953635839477</v>
      </c>
    </row>
    <row r="1565">
      <c r="A1565" s="3">
        <v>43203.0</v>
      </c>
      <c r="B1565" s="6">
        <v>0.11602953635839477</v>
      </c>
    </row>
    <row r="1566">
      <c r="A1566" s="3">
        <v>43204.0</v>
      </c>
      <c r="B1566" s="6">
        <v>0.11602953635839477</v>
      </c>
    </row>
    <row r="1567">
      <c r="A1567" s="3">
        <v>43205.0</v>
      </c>
      <c r="B1567" s="6">
        <v>0.11602953635839477</v>
      </c>
    </row>
    <row r="1568">
      <c r="A1568" s="3">
        <v>43206.0</v>
      </c>
      <c r="B1568" s="6">
        <v>0.11602953635839477</v>
      </c>
    </row>
    <row r="1569">
      <c r="A1569" s="3">
        <v>43207.0</v>
      </c>
      <c r="B1569" s="6">
        <v>0.11602953635839477</v>
      </c>
    </row>
    <row r="1570">
      <c r="A1570" s="3">
        <v>43208.0</v>
      </c>
      <c r="B1570" s="6">
        <v>0.11602953635839477</v>
      </c>
    </row>
    <row r="1571">
      <c r="A1571" s="3">
        <v>43209.0</v>
      </c>
      <c r="B1571" s="6">
        <v>0.11602953635839477</v>
      </c>
    </row>
    <row r="1572">
      <c r="A1572" s="3">
        <v>43210.0</v>
      </c>
      <c r="B1572" s="6">
        <v>0.11602953635839477</v>
      </c>
    </row>
    <row r="1573">
      <c r="A1573" s="3">
        <v>43211.0</v>
      </c>
      <c r="B1573" s="6">
        <v>0.11602953635839477</v>
      </c>
    </row>
    <row r="1574">
      <c r="A1574" s="3">
        <v>43212.0</v>
      </c>
      <c r="B1574" s="6">
        <v>0.11602953635839477</v>
      </c>
    </row>
    <row r="1575">
      <c r="A1575" s="3">
        <v>43213.0</v>
      </c>
      <c r="B1575" s="6">
        <v>0.11602953635839477</v>
      </c>
    </row>
    <row r="1576">
      <c r="A1576" s="3">
        <v>43214.0</v>
      </c>
      <c r="B1576" s="6">
        <v>0.11602953635839477</v>
      </c>
    </row>
    <row r="1577">
      <c r="A1577" s="3">
        <v>43215.0</v>
      </c>
      <c r="B1577" s="6">
        <v>0.11602953635839477</v>
      </c>
    </row>
    <row r="1578">
      <c r="A1578" s="3">
        <v>43216.0</v>
      </c>
      <c r="B1578" s="6">
        <v>0.11602953635839477</v>
      </c>
    </row>
    <row r="1579">
      <c r="A1579" s="3">
        <v>43217.0</v>
      </c>
      <c r="B1579" s="6">
        <v>0.11602953635839477</v>
      </c>
    </row>
    <row r="1580">
      <c r="A1580" s="3">
        <v>43218.0</v>
      </c>
      <c r="B1580" s="6">
        <v>0.11602953635839477</v>
      </c>
    </row>
    <row r="1581">
      <c r="A1581" s="3">
        <v>43219.0</v>
      </c>
      <c r="B1581" s="6">
        <v>0.11602953635839477</v>
      </c>
    </row>
    <row r="1582">
      <c r="A1582" s="3">
        <v>43220.0</v>
      </c>
      <c r="B1582" s="6">
        <v>0.11602953635839477</v>
      </c>
    </row>
    <row r="1583">
      <c r="A1583" s="3">
        <v>43221.0</v>
      </c>
      <c r="B1583" s="6">
        <v>0.11602953635839477</v>
      </c>
    </row>
    <row r="1584">
      <c r="A1584" s="3">
        <v>43222.0</v>
      </c>
      <c r="B1584" s="6">
        <v>0.11602953635839477</v>
      </c>
    </row>
    <row r="1585">
      <c r="A1585" s="3">
        <v>43223.0</v>
      </c>
      <c r="B1585" s="6">
        <v>0.11602953635839477</v>
      </c>
    </row>
    <row r="1586">
      <c r="A1586" s="3">
        <v>43224.0</v>
      </c>
      <c r="B1586" s="6">
        <v>0.11602953635839477</v>
      </c>
    </row>
    <row r="1587">
      <c r="A1587" s="3">
        <v>43225.0</v>
      </c>
      <c r="B1587" s="6">
        <v>0.11602953635839477</v>
      </c>
    </row>
    <row r="1588">
      <c r="A1588" s="3">
        <v>43226.0</v>
      </c>
      <c r="B1588" s="6">
        <v>0.11602953635839477</v>
      </c>
    </row>
    <row r="1589">
      <c r="A1589" s="3">
        <v>43227.0</v>
      </c>
      <c r="B1589" s="6">
        <v>0.11602953635839477</v>
      </c>
    </row>
    <row r="1590">
      <c r="A1590" s="3">
        <v>43228.0</v>
      </c>
      <c r="B1590" s="6">
        <v>0.11602953635839477</v>
      </c>
    </row>
    <row r="1591">
      <c r="A1591" s="3">
        <v>43229.0</v>
      </c>
      <c r="B1591" s="6">
        <v>0.11602953635839477</v>
      </c>
    </row>
    <row r="1592">
      <c r="A1592" s="3">
        <v>43230.0</v>
      </c>
      <c r="B1592" s="6">
        <v>0.11602953635839477</v>
      </c>
    </row>
    <row r="1593">
      <c r="A1593" s="3">
        <v>43231.0</v>
      </c>
      <c r="B1593" s="6">
        <v>0.11602953635839477</v>
      </c>
    </row>
    <row r="1594">
      <c r="A1594" s="3">
        <v>43232.0</v>
      </c>
      <c r="B1594" s="6">
        <v>0.11602953635839477</v>
      </c>
    </row>
    <row r="1595">
      <c r="A1595" s="3">
        <v>43233.0</v>
      </c>
      <c r="B1595" s="6">
        <v>0.11602953635839477</v>
      </c>
    </row>
    <row r="1596">
      <c r="A1596" s="3">
        <v>43234.0</v>
      </c>
      <c r="B1596" s="6">
        <v>0.11602953635839477</v>
      </c>
    </row>
    <row r="1597">
      <c r="A1597" s="3">
        <v>43235.0</v>
      </c>
      <c r="B1597" s="6">
        <v>0.11602953635839477</v>
      </c>
    </row>
    <row r="1598">
      <c r="A1598" s="3">
        <v>43236.0</v>
      </c>
      <c r="B1598" s="6">
        <v>0.11602953635839477</v>
      </c>
    </row>
    <row r="1599">
      <c r="A1599" s="3">
        <v>43237.0</v>
      </c>
      <c r="B1599" s="6">
        <v>0.11602953635839477</v>
      </c>
    </row>
    <row r="1600">
      <c r="A1600" s="3">
        <v>43238.0</v>
      </c>
      <c r="B1600" s="6">
        <v>0.11602953635839477</v>
      </c>
    </row>
    <row r="1601">
      <c r="A1601" s="3">
        <v>43239.0</v>
      </c>
      <c r="B1601" s="6">
        <v>0.11602953635839477</v>
      </c>
    </row>
    <row r="1602">
      <c r="A1602" s="3">
        <v>43240.0</v>
      </c>
      <c r="B1602" s="6">
        <v>0.11602953635839477</v>
      </c>
    </row>
    <row r="1603">
      <c r="A1603" s="3">
        <v>43241.0</v>
      </c>
      <c r="B1603" s="6">
        <v>0.11602953635839477</v>
      </c>
    </row>
    <row r="1604">
      <c r="A1604" s="3">
        <v>43242.0</v>
      </c>
      <c r="B1604" s="6">
        <v>0.11602953635839477</v>
      </c>
    </row>
    <row r="1605">
      <c r="A1605" s="3">
        <v>43243.0</v>
      </c>
      <c r="B1605" s="6">
        <v>0.11602953635839477</v>
      </c>
    </row>
    <row r="1606">
      <c r="A1606" s="3">
        <v>43244.0</v>
      </c>
      <c r="B1606" s="6">
        <v>0.11602953635839477</v>
      </c>
    </row>
    <row r="1607">
      <c r="A1607" s="3">
        <v>43245.0</v>
      </c>
      <c r="B1607" s="6">
        <v>0.11602953635839477</v>
      </c>
    </row>
    <row r="1608">
      <c r="A1608" s="3">
        <v>43246.0</v>
      </c>
      <c r="B1608" s="6">
        <v>0.11602953635839477</v>
      </c>
    </row>
    <row r="1609">
      <c r="A1609" s="3">
        <v>43247.0</v>
      </c>
      <c r="B1609" s="6">
        <v>0.11602953635839477</v>
      </c>
    </row>
    <row r="1610">
      <c r="A1610" s="3">
        <v>43248.0</v>
      </c>
      <c r="B1610" s="6">
        <v>0.11602953635839477</v>
      </c>
    </row>
    <row r="1611">
      <c r="A1611" s="3">
        <v>43249.0</v>
      </c>
      <c r="B1611" s="6">
        <v>0.11602953635839477</v>
      </c>
    </row>
    <row r="1612">
      <c r="A1612" s="3">
        <v>43250.0</v>
      </c>
      <c r="B1612" s="6">
        <v>0.11602953635839477</v>
      </c>
    </row>
    <row r="1613">
      <c r="A1613" s="3">
        <v>43251.0</v>
      </c>
      <c r="B1613" s="6">
        <v>0.11602953635839477</v>
      </c>
    </row>
    <row r="1614">
      <c r="A1614" s="3">
        <v>43252.0</v>
      </c>
      <c r="B1614" s="6">
        <v>0.11602953635839477</v>
      </c>
    </row>
    <row r="1615">
      <c r="A1615" s="3">
        <v>43253.0</v>
      </c>
      <c r="B1615" s="6">
        <v>0.11602953635839477</v>
      </c>
    </row>
    <row r="1616">
      <c r="A1616" s="3">
        <v>43254.0</v>
      </c>
      <c r="B1616" s="6">
        <v>0.11602953635839477</v>
      </c>
    </row>
    <row r="1617">
      <c r="A1617" s="3">
        <v>43255.0</v>
      </c>
      <c r="B1617" s="6">
        <v>0.11602953635839477</v>
      </c>
    </row>
    <row r="1618">
      <c r="A1618" s="3">
        <v>43256.0</v>
      </c>
      <c r="B1618" s="6">
        <v>0.11602953635839477</v>
      </c>
    </row>
    <row r="1619">
      <c r="A1619" s="3">
        <v>43257.0</v>
      </c>
      <c r="B1619" s="6">
        <v>0.11602953635839477</v>
      </c>
    </row>
    <row r="1620">
      <c r="A1620" s="3">
        <v>43258.0</v>
      </c>
      <c r="B1620" s="6">
        <v>0.11602953635839477</v>
      </c>
    </row>
    <row r="1621">
      <c r="A1621" s="3">
        <v>43259.0</v>
      </c>
      <c r="B1621" s="6">
        <v>0.11602953635839477</v>
      </c>
    </row>
    <row r="1622">
      <c r="A1622" s="3">
        <v>43260.0</v>
      </c>
      <c r="B1622" s="6">
        <v>0.11602953635839477</v>
      </c>
    </row>
    <row r="1623">
      <c r="A1623" s="3">
        <v>43261.0</v>
      </c>
      <c r="B1623" s="6">
        <v>0.11602953635839477</v>
      </c>
    </row>
    <row r="1624">
      <c r="A1624" s="3">
        <v>43262.0</v>
      </c>
      <c r="B1624" s="6">
        <v>0.11602953635839477</v>
      </c>
    </row>
    <row r="1625">
      <c r="A1625" s="3">
        <v>43263.0</v>
      </c>
      <c r="B1625" s="6">
        <v>0.11602953635839477</v>
      </c>
    </row>
    <row r="1626">
      <c r="A1626" s="3">
        <v>43264.0</v>
      </c>
      <c r="B1626" s="6">
        <v>0.11602953635839477</v>
      </c>
    </row>
    <row r="1627">
      <c r="A1627" s="3">
        <v>43265.0</v>
      </c>
      <c r="B1627" s="6">
        <v>0.11602953635839477</v>
      </c>
    </row>
    <row r="1628">
      <c r="A1628" s="3">
        <v>43266.0</v>
      </c>
      <c r="B1628" s="6">
        <v>0.11602953635839477</v>
      </c>
    </row>
    <row r="1629">
      <c r="A1629" s="3">
        <v>43267.0</v>
      </c>
      <c r="B1629" s="6">
        <v>0.11602953635839477</v>
      </c>
    </row>
    <row r="1630">
      <c r="A1630" s="3">
        <v>43268.0</v>
      </c>
      <c r="B1630" s="6">
        <v>0.11602953635839477</v>
      </c>
    </row>
    <row r="1631">
      <c r="A1631" s="3">
        <v>43269.0</v>
      </c>
      <c r="B1631" s="6">
        <v>0.11602953635839477</v>
      </c>
    </row>
    <row r="1632">
      <c r="A1632" s="3">
        <v>43270.0</v>
      </c>
      <c r="B1632" s="6">
        <v>0.11602953635839477</v>
      </c>
    </row>
    <row r="1633">
      <c r="A1633" s="3">
        <v>43271.0</v>
      </c>
      <c r="B1633" s="6">
        <v>0.11602953635839477</v>
      </c>
    </row>
    <row r="1634">
      <c r="A1634" s="3">
        <v>43272.0</v>
      </c>
      <c r="B1634" s="6">
        <v>0.11602953635839477</v>
      </c>
    </row>
    <row r="1635">
      <c r="A1635" s="3">
        <v>43273.0</v>
      </c>
      <c r="B1635" s="6">
        <v>0.11602953635839477</v>
      </c>
    </row>
    <row r="1636">
      <c r="A1636" s="3">
        <v>43274.0</v>
      </c>
      <c r="B1636" s="6">
        <v>0.11602953635839477</v>
      </c>
    </row>
    <row r="1637">
      <c r="A1637" s="3">
        <v>43275.0</v>
      </c>
      <c r="B1637" s="6">
        <v>0.11602953635839477</v>
      </c>
    </row>
    <row r="1638">
      <c r="A1638" s="3">
        <v>43276.0</v>
      </c>
      <c r="B1638" s="6">
        <v>0.11602953635839477</v>
      </c>
    </row>
    <row r="1639">
      <c r="A1639" s="3">
        <v>43277.0</v>
      </c>
      <c r="B1639" s="6">
        <v>0.11602953635839477</v>
      </c>
    </row>
    <row r="1640">
      <c r="A1640" s="3">
        <v>43278.0</v>
      </c>
      <c r="B1640" s="6">
        <v>0.11602953635839477</v>
      </c>
    </row>
    <row r="1641">
      <c r="A1641" s="3">
        <v>43279.0</v>
      </c>
      <c r="B1641" s="6">
        <v>0.11602953635839477</v>
      </c>
    </row>
    <row r="1642">
      <c r="A1642" s="3">
        <v>43280.0</v>
      </c>
      <c r="B1642" s="6">
        <v>0.11602953635839477</v>
      </c>
    </row>
    <row r="1643">
      <c r="A1643" s="3">
        <v>43281.0</v>
      </c>
      <c r="B1643" s="6">
        <v>0.11602953635839477</v>
      </c>
    </row>
    <row r="1644">
      <c r="A1644" s="3">
        <v>43282.0</v>
      </c>
      <c r="B1644" s="6">
        <v>0.12425947145940323</v>
      </c>
    </row>
    <row r="1645">
      <c r="A1645" s="3">
        <v>43283.0</v>
      </c>
      <c r="B1645" s="6">
        <v>0.12425947145940323</v>
      </c>
    </row>
    <row r="1646">
      <c r="A1646" s="3">
        <v>43284.0</v>
      </c>
      <c r="B1646" s="6">
        <v>0.12425947145940323</v>
      </c>
    </row>
    <row r="1647">
      <c r="A1647" s="3">
        <v>43285.0</v>
      </c>
      <c r="B1647" s="6">
        <v>0.12425947145940323</v>
      </c>
    </row>
    <row r="1648">
      <c r="A1648" s="3">
        <v>43286.0</v>
      </c>
      <c r="B1648" s="6">
        <v>0.12425947145940323</v>
      </c>
    </row>
    <row r="1649">
      <c r="A1649" s="3">
        <v>43287.0</v>
      </c>
      <c r="B1649" s="6">
        <v>0.12425947145940323</v>
      </c>
    </row>
    <row r="1650">
      <c r="A1650" s="3">
        <v>43288.0</v>
      </c>
      <c r="B1650" s="6">
        <v>0.12425947145940323</v>
      </c>
    </row>
    <row r="1651">
      <c r="A1651" s="3">
        <v>43289.0</v>
      </c>
      <c r="B1651" s="6">
        <v>0.12425947145940323</v>
      </c>
    </row>
    <row r="1652">
      <c r="A1652" s="3">
        <v>43290.0</v>
      </c>
      <c r="B1652" s="6">
        <v>0.12425947145940323</v>
      </c>
    </row>
    <row r="1653">
      <c r="A1653" s="3">
        <v>43291.0</v>
      </c>
      <c r="B1653" s="6">
        <v>0.12425947145940323</v>
      </c>
    </row>
    <row r="1654">
      <c r="A1654" s="3">
        <v>43292.0</v>
      </c>
      <c r="B1654" s="6">
        <v>0.12425947145940323</v>
      </c>
    </row>
    <row r="1655">
      <c r="A1655" s="3">
        <v>43293.0</v>
      </c>
      <c r="B1655" s="6">
        <v>0.12425947145940323</v>
      </c>
    </row>
    <row r="1656">
      <c r="A1656" s="3">
        <v>43294.0</v>
      </c>
      <c r="B1656" s="6">
        <v>0.12425947145940323</v>
      </c>
    </row>
    <row r="1657">
      <c r="A1657" s="3">
        <v>43295.0</v>
      </c>
      <c r="B1657" s="6">
        <v>0.12425947145940323</v>
      </c>
    </row>
    <row r="1658">
      <c r="A1658" s="3">
        <v>43296.0</v>
      </c>
      <c r="B1658" s="6">
        <v>0.12425947145940323</v>
      </c>
    </row>
    <row r="1659">
      <c r="A1659" s="3">
        <v>43297.0</v>
      </c>
      <c r="B1659" s="6">
        <v>0.12425947145940323</v>
      </c>
    </row>
    <row r="1660">
      <c r="A1660" s="3">
        <v>43298.0</v>
      </c>
      <c r="B1660" s="6">
        <v>0.12425947145940323</v>
      </c>
    </row>
    <row r="1661">
      <c r="A1661" s="3">
        <v>43299.0</v>
      </c>
      <c r="B1661" s="6">
        <v>0.12425947145940323</v>
      </c>
    </row>
    <row r="1662">
      <c r="A1662" s="3">
        <v>43300.0</v>
      </c>
      <c r="B1662" s="6">
        <v>0.12425947145940323</v>
      </c>
    </row>
    <row r="1663">
      <c r="A1663" s="3">
        <v>43301.0</v>
      </c>
      <c r="B1663" s="6">
        <v>0.12425947145940323</v>
      </c>
    </row>
    <row r="1664">
      <c r="A1664" s="3">
        <v>43302.0</v>
      </c>
      <c r="B1664" s="6">
        <v>0.12425947145940323</v>
      </c>
    </row>
    <row r="1665">
      <c r="A1665" s="3">
        <v>43303.0</v>
      </c>
      <c r="B1665" s="6">
        <v>0.12425947145940323</v>
      </c>
    </row>
    <row r="1666">
      <c r="A1666" s="3">
        <v>43304.0</v>
      </c>
      <c r="B1666" s="6">
        <v>0.12425947145940323</v>
      </c>
    </row>
    <row r="1667">
      <c r="A1667" s="3">
        <v>43305.0</v>
      </c>
      <c r="B1667" s="6">
        <v>0.12425947145940323</v>
      </c>
    </row>
    <row r="1668">
      <c r="A1668" s="3">
        <v>43306.0</v>
      </c>
      <c r="B1668" s="6">
        <v>0.12425947145940323</v>
      </c>
    </row>
    <row r="1669">
      <c r="A1669" s="3">
        <v>43307.0</v>
      </c>
      <c r="B1669" s="6">
        <v>0.12425947145940323</v>
      </c>
    </row>
    <row r="1670">
      <c r="A1670" s="3">
        <v>43308.0</v>
      </c>
      <c r="B1670" s="6">
        <v>0.12425947145940323</v>
      </c>
    </row>
    <row r="1671">
      <c r="A1671" s="3">
        <v>43309.0</v>
      </c>
      <c r="B1671" s="6">
        <v>0.12425947145940323</v>
      </c>
    </row>
    <row r="1672">
      <c r="A1672" s="3">
        <v>43310.0</v>
      </c>
      <c r="B1672" s="6">
        <v>0.12425947145940323</v>
      </c>
    </row>
    <row r="1673">
      <c r="A1673" s="3">
        <v>43311.0</v>
      </c>
      <c r="B1673" s="6">
        <v>0.12425947145940323</v>
      </c>
    </row>
    <row r="1674">
      <c r="A1674" s="3">
        <v>43312.0</v>
      </c>
      <c r="B1674" s="6">
        <v>0.12425947145940323</v>
      </c>
    </row>
    <row r="1675">
      <c r="A1675" s="3">
        <v>43313.0</v>
      </c>
      <c r="B1675" s="6">
        <v>0.12425947145940323</v>
      </c>
    </row>
    <row r="1676">
      <c r="A1676" s="3">
        <v>43314.0</v>
      </c>
      <c r="B1676" s="6">
        <v>0.12425947145940323</v>
      </c>
    </row>
    <row r="1677">
      <c r="A1677" s="3">
        <v>43315.0</v>
      </c>
      <c r="B1677" s="6">
        <v>0.12425947145940323</v>
      </c>
    </row>
    <row r="1678">
      <c r="A1678" s="3">
        <v>43316.0</v>
      </c>
      <c r="B1678" s="6">
        <v>0.12425947145940323</v>
      </c>
    </row>
    <row r="1679">
      <c r="A1679" s="3">
        <v>43317.0</v>
      </c>
      <c r="B1679" s="6">
        <v>0.12425947145940323</v>
      </c>
    </row>
    <row r="1680">
      <c r="A1680" s="3">
        <v>43318.0</v>
      </c>
      <c r="B1680" s="6">
        <v>0.12425947145940323</v>
      </c>
    </row>
    <row r="1681">
      <c r="A1681" s="3">
        <v>43319.0</v>
      </c>
      <c r="B1681" s="6">
        <v>0.12425947145940323</v>
      </c>
    </row>
    <row r="1682">
      <c r="A1682" s="3">
        <v>43320.0</v>
      </c>
      <c r="B1682" s="6">
        <v>0.12425947145940323</v>
      </c>
    </row>
    <row r="1683">
      <c r="A1683" s="3">
        <v>43321.0</v>
      </c>
      <c r="B1683" s="6">
        <v>0.12425947145940323</v>
      </c>
    </row>
    <row r="1684">
      <c r="A1684" s="3">
        <v>43322.0</v>
      </c>
      <c r="B1684" s="6">
        <v>0.12425947145940323</v>
      </c>
    </row>
    <row r="1685">
      <c r="A1685" s="3">
        <v>43323.0</v>
      </c>
      <c r="B1685" s="6">
        <v>0.12425947145940323</v>
      </c>
    </row>
    <row r="1686">
      <c r="A1686" s="3">
        <v>43324.0</v>
      </c>
      <c r="B1686" s="6">
        <v>0.12425947145940323</v>
      </c>
    </row>
    <row r="1687">
      <c r="A1687" s="3">
        <v>43325.0</v>
      </c>
      <c r="B1687" s="6">
        <v>0.12425947145940323</v>
      </c>
    </row>
    <row r="1688">
      <c r="A1688" s="3">
        <v>43326.0</v>
      </c>
      <c r="B1688" s="6">
        <v>0.12425947145940323</v>
      </c>
    </row>
    <row r="1689">
      <c r="A1689" s="3">
        <v>43327.0</v>
      </c>
      <c r="B1689" s="6">
        <v>0.12425947145940323</v>
      </c>
    </row>
    <row r="1690">
      <c r="A1690" s="3">
        <v>43328.0</v>
      </c>
      <c r="B1690" s="6">
        <v>0.12425947145940323</v>
      </c>
    </row>
    <row r="1691">
      <c r="A1691" s="3">
        <v>43329.0</v>
      </c>
      <c r="B1691" s="6">
        <v>0.12425947145940323</v>
      </c>
    </row>
    <row r="1692">
      <c r="A1692" s="3">
        <v>43330.0</v>
      </c>
      <c r="B1692" s="6">
        <v>0.12425947145940323</v>
      </c>
    </row>
    <row r="1693">
      <c r="A1693" s="3">
        <v>43331.0</v>
      </c>
      <c r="B1693" s="6">
        <v>0.12425947145940323</v>
      </c>
    </row>
    <row r="1694">
      <c r="A1694" s="3">
        <v>43332.0</v>
      </c>
      <c r="B1694" s="6">
        <v>0.12425947145940323</v>
      </c>
    </row>
    <row r="1695">
      <c r="A1695" s="3">
        <v>43333.0</v>
      </c>
      <c r="B1695" s="6">
        <v>0.12425947145940323</v>
      </c>
    </row>
    <row r="1696">
      <c r="A1696" s="3">
        <v>43334.0</v>
      </c>
      <c r="B1696" s="6">
        <v>0.12425947145940323</v>
      </c>
    </row>
    <row r="1697">
      <c r="A1697" s="3">
        <v>43335.0</v>
      </c>
      <c r="B1697" s="6">
        <v>0.12425947145940323</v>
      </c>
    </row>
    <row r="1698">
      <c r="A1698" s="3">
        <v>43336.0</v>
      </c>
      <c r="B1698" s="6">
        <v>0.12425947145940323</v>
      </c>
    </row>
    <row r="1699">
      <c r="A1699" s="3">
        <v>43337.0</v>
      </c>
      <c r="B1699" s="6">
        <v>0.12425947145940323</v>
      </c>
    </row>
    <row r="1700">
      <c r="A1700" s="3">
        <v>43338.0</v>
      </c>
      <c r="B1700" s="6">
        <v>0.12425947145940323</v>
      </c>
    </row>
    <row r="1701">
      <c r="A1701" s="3">
        <v>43339.0</v>
      </c>
      <c r="B1701" s="6">
        <v>0.12425947145940323</v>
      </c>
    </row>
    <row r="1702">
      <c r="A1702" s="3">
        <v>43340.0</v>
      </c>
      <c r="B1702" s="6">
        <v>0.12425947145940323</v>
      </c>
    </row>
    <row r="1703">
      <c r="A1703" s="3">
        <v>43341.0</v>
      </c>
      <c r="B1703" s="6">
        <v>0.12425947145940323</v>
      </c>
    </row>
    <row r="1704">
      <c r="A1704" s="3">
        <v>43342.0</v>
      </c>
      <c r="B1704" s="6">
        <v>0.12425947145940323</v>
      </c>
    </row>
    <row r="1705">
      <c r="A1705" s="3">
        <v>43343.0</v>
      </c>
      <c r="B1705" s="6">
        <v>0.12425947145940323</v>
      </c>
    </row>
    <row r="1706">
      <c r="A1706" s="3">
        <v>43344.0</v>
      </c>
      <c r="B1706" s="6">
        <v>0.12425947145940323</v>
      </c>
    </row>
    <row r="1707">
      <c r="A1707" s="3">
        <v>43345.0</v>
      </c>
      <c r="B1707" s="6">
        <v>0.12425947145940323</v>
      </c>
    </row>
    <row r="1708">
      <c r="A1708" s="3">
        <v>43346.0</v>
      </c>
      <c r="B1708" s="6">
        <v>0.12425947145940323</v>
      </c>
    </row>
    <row r="1709">
      <c r="A1709" s="3">
        <v>43347.0</v>
      </c>
      <c r="B1709" s="6">
        <v>0.12425947145940323</v>
      </c>
    </row>
    <row r="1710">
      <c r="A1710" s="3">
        <v>43348.0</v>
      </c>
      <c r="B1710" s="6">
        <v>0.12425947145940323</v>
      </c>
    </row>
    <row r="1711">
      <c r="A1711" s="3">
        <v>43349.0</v>
      </c>
      <c r="B1711" s="6">
        <v>0.12425947145940323</v>
      </c>
    </row>
    <row r="1712">
      <c r="A1712" s="3">
        <v>43350.0</v>
      </c>
      <c r="B1712" s="6">
        <v>0.12425947145940323</v>
      </c>
    </row>
    <row r="1713">
      <c r="A1713" s="3">
        <v>43351.0</v>
      </c>
      <c r="B1713" s="6">
        <v>0.12425947145940323</v>
      </c>
    </row>
    <row r="1714">
      <c r="A1714" s="3">
        <v>43352.0</v>
      </c>
      <c r="B1714" s="6">
        <v>0.12425947145940323</v>
      </c>
    </row>
    <row r="1715">
      <c r="A1715" s="3">
        <v>43353.0</v>
      </c>
      <c r="B1715" s="6">
        <v>0.12425947145940323</v>
      </c>
    </row>
    <row r="1716">
      <c r="A1716" s="3">
        <v>43354.0</v>
      </c>
      <c r="B1716" s="6">
        <v>0.12425947145940323</v>
      </c>
    </row>
    <row r="1717">
      <c r="A1717" s="3">
        <v>43355.0</v>
      </c>
      <c r="B1717" s="6">
        <v>0.12425947145940323</v>
      </c>
    </row>
    <row r="1718">
      <c r="A1718" s="3">
        <v>43356.0</v>
      </c>
      <c r="B1718" s="6">
        <v>0.12425947145940323</v>
      </c>
    </row>
    <row r="1719">
      <c r="A1719" s="3">
        <v>43357.0</v>
      </c>
      <c r="B1719" s="6">
        <v>0.12425947145940323</v>
      </c>
    </row>
    <row r="1720">
      <c r="A1720" s="3">
        <v>43358.0</v>
      </c>
      <c r="B1720" s="6">
        <v>0.12425947145940323</v>
      </c>
    </row>
    <row r="1721">
      <c r="A1721" s="3">
        <v>43359.0</v>
      </c>
      <c r="B1721" s="6">
        <v>0.12425947145940323</v>
      </c>
    </row>
    <row r="1722">
      <c r="A1722" s="3">
        <v>43360.0</v>
      </c>
      <c r="B1722" s="6">
        <v>0.12425947145940323</v>
      </c>
    </row>
    <row r="1723">
      <c r="A1723" s="3">
        <v>43361.0</v>
      </c>
      <c r="B1723" s="6">
        <v>0.12425947145940323</v>
      </c>
    </row>
    <row r="1724">
      <c r="A1724" s="3">
        <v>43362.0</v>
      </c>
      <c r="B1724" s="6">
        <v>0.12425947145940323</v>
      </c>
    </row>
    <row r="1725">
      <c r="A1725" s="3">
        <v>43363.0</v>
      </c>
      <c r="B1725" s="6">
        <v>0.12425947145940323</v>
      </c>
    </row>
    <row r="1726">
      <c r="A1726" s="3">
        <v>43364.0</v>
      </c>
      <c r="B1726" s="6">
        <v>0.12425947145940323</v>
      </c>
    </row>
    <row r="1727">
      <c r="A1727" s="3">
        <v>43365.0</v>
      </c>
      <c r="B1727" s="6">
        <v>0.12425947145940323</v>
      </c>
    </row>
    <row r="1728">
      <c r="A1728" s="3">
        <v>43366.0</v>
      </c>
      <c r="B1728" s="6">
        <v>0.12425947145940323</v>
      </c>
    </row>
    <row r="1729">
      <c r="A1729" s="3">
        <v>43367.0</v>
      </c>
      <c r="B1729" s="6">
        <v>0.12425947145940323</v>
      </c>
    </row>
    <row r="1730">
      <c r="A1730" s="3">
        <v>43368.0</v>
      </c>
      <c r="B1730" s="6">
        <v>0.12425947145940323</v>
      </c>
    </row>
    <row r="1731">
      <c r="A1731" s="3">
        <v>43369.0</v>
      </c>
      <c r="B1731" s="6">
        <v>0.12425947145940323</v>
      </c>
    </row>
    <row r="1732">
      <c r="A1732" s="3">
        <v>43370.0</v>
      </c>
      <c r="B1732" s="6">
        <v>0.12425947145940323</v>
      </c>
    </row>
    <row r="1733">
      <c r="A1733" s="3">
        <v>43371.0</v>
      </c>
      <c r="B1733" s="6">
        <v>0.12425947145940323</v>
      </c>
    </row>
    <row r="1734">
      <c r="A1734" s="3">
        <v>43372.0</v>
      </c>
      <c r="B1734" s="6">
        <v>0.12425947145940323</v>
      </c>
    </row>
    <row r="1735">
      <c r="A1735" s="3">
        <v>43373.0</v>
      </c>
      <c r="B1735" s="6">
        <v>0.12425947145940323</v>
      </c>
    </row>
    <row r="1736">
      <c r="A1736" s="3">
        <v>43374.0</v>
      </c>
      <c r="B1736" s="6">
        <v>0.12425947145940323</v>
      </c>
    </row>
    <row r="1737">
      <c r="A1737" s="3">
        <v>43375.0</v>
      </c>
      <c r="B1737" s="6">
        <v>0.12425947145940323</v>
      </c>
    </row>
    <row r="1738">
      <c r="A1738" s="3">
        <v>43376.0</v>
      </c>
      <c r="B1738" s="6">
        <v>0.12425947145940323</v>
      </c>
    </row>
    <row r="1739">
      <c r="A1739" s="3">
        <v>43377.0</v>
      </c>
      <c r="B1739" s="6">
        <v>0.12425947145940323</v>
      </c>
    </row>
    <row r="1740">
      <c r="A1740" s="3">
        <v>43378.0</v>
      </c>
      <c r="B1740" s="6">
        <v>0.12425947145940323</v>
      </c>
    </row>
    <row r="1741">
      <c r="A1741" s="3">
        <v>43379.0</v>
      </c>
      <c r="B1741" s="6">
        <v>0.12425947145940323</v>
      </c>
    </row>
    <row r="1742">
      <c r="A1742" s="3">
        <v>43380.0</v>
      </c>
      <c r="B1742" s="6">
        <v>0.12425947145940323</v>
      </c>
    </row>
    <row r="1743">
      <c r="A1743" s="3">
        <v>43381.0</v>
      </c>
      <c r="B1743" s="6">
        <v>0.12425947145940323</v>
      </c>
    </row>
    <row r="1744">
      <c r="A1744" s="3">
        <v>43382.0</v>
      </c>
      <c r="B1744" s="6">
        <v>0.12425947145940323</v>
      </c>
    </row>
    <row r="1745">
      <c r="A1745" s="3">
        <v>43383.0</v>
      </c>
      <c r="B1745" s="6">
        <v>0.12425947145940323</v>
      </c>
    </row>
    <row r="1746">
      <c r="A1746" s="3">
        <v>43384.0</v>
      </c>
      <c r="B1746" s="6">
        <v>0.12425947145940323</v>
      </c>
    </row>
    <row r="1747">
      <c r="A1747" s="3">
        <v>43385.0</v>
      </c>
      <c r="B1747" s="6">
        <v>0.12425947145940323</v>
      </c>
    </row>
    <row r="1748">
      <c r="A1748" s="3">
        <v>43386.0</v>
      </c>
      <c r="B1748" s="6">
        <v>0.12425947145940323</v>
      </c>
    </row>
    <row r="1749">
      <c r="A1749" s="3">
        <v>43387.0</v>
      </c>
      <c r="B1749" s="6">
        <v>0.12425947145940323</v>
      </c>
    </row>
    <row r="1750">
      <c r="A1750" s="3">
        <v>43388.0</v>
      </c>
      <c r="B1750" s="6">
        <v>0.12425947145940323</v>
      </c>
    </row>
    <row r="1751">
      <c r="A1751" s="3">
        <v>43389.0</v>
      </c>
      <c r="B1751" s="6">
        <v>0.12425947145940323</v>
      </c>
    </row>
    <row r="1752">
      <c r="A1752" s="3">
        <v>43390.0</v>
      </c>
      <c r="B1752" s="6">
        <v>0.12425947145940323</v>
      </c>
    </row>
    <row r="1753">
      <c r="A1753" s="3">
        <v>43391.0</v>
      </c>
      <c r="B1753" s="6">
        <v>0.12425947145940323</v>
      </c>
    </row>
    <row r="1754">
      <c r="A1754" s="3">
        <v>43392.0</v>
      </c>
      <c r="B1754" s="6">
        <v>0.12425947145940323</v>
      </c>
    </row>
    <row r="1755">
      <c r="A1755" s="3">
        <v>43393.0</v>
      </c>
      <c r="B1755" s="6">
        <v>0.12425947145940323</v>
      </c>
    </row>
    <row r="1756">
      <c r="A1756" s="3">
        <v>43394.0</v>
      </c>
      <c r="B1756" s="6">
        <v>0.12425947145940323</v>
      </c>
    </row>
    <row r="1757">
      <c r="A1757" s="3">
        <v>43395.0</v>
      </c>
      <c r="B1757" s="6">
        <v>0.12425947145940323</v>
      </c>
    </row>
    <row r="1758">
      <c r="A1758" s="3">
        <v>43396.0</v>
      </c>
      <c r="B1758" s="6">
        <v>0.12425947145940323</v>
      </c>
    </row>
    <row r="1759">
      <c r="A1759" s="3">
        <v>43397.0</v>
      </c>
      <c r="B1759" s="6">
        <v>0.12425947145940323</v>
      </c>
    </row>
    <row r="1760">
      <c r="A1760" s="3">
        <v>43398.0</v>
      </c>
      <c r="B1760" s="6">
        <v>0.12425947145940323</v>
      </c>
    </row>
    <row r="1761">
      <c r="A1761" s="3">
        <v>43399.0</v>
      </c>
      <c r="B1761" s="6">
        <v>0.12425947145940323</v>
      </c>
    </row>
    <row r="1762">
      <c r="A1762" s="3">
        <v>43400.0</v>
      </c>
      <c r="B1762" s="6">
        <v>0.12425947145940323</v>
      </c>
    </row>
    <row r="1763">
      <c r="A1763" s="3">
        <v>43401.0</v>
      </c>
      <c r="B1763" s="6">
        <v>0.12425947145940323</v>
      </c>
    </row>
    <row r="1764">
      <c r="A1764" s="3">
        <v>43402.0</v>
      </c>
      <c r="B1764" s="6">
        <v>0.12425947145940323</v>
      </c>
    </row>
    <row r="1765">
      <c r="A1765" s="3">
        <v>43403.0</v>
      </c>
      <c r="B1765" s="6">
        <v>0.12425947145940323</v>
      </c>
    </row>
    <row r="1766">
      <c r="A1766" s="3">
        <v>43404.0</v>
      </c>
      <c r="B1766" s="6">
        <v>0.12425947145940323</v>
      </c>
    </row>
    <row r="1767">
      <c r="A1767" s="3">
        <v>43405.0</v>
      </c>
      <c r="B1767" s="6">
        <v>0.12425947145940323</v>
      </c>
    </row>
    <row r="1768">
      <c r="A1768" s="3">
        <v>43406.0</v>
      </c>
      <c r="B1768" s="6">
        <v>0.12425947145940323</v>
      </c>
    </row>
    <row r="1769">
      <c r="A1769" s="3">
        <v>43407.0</v>
      </c>
      <c r="B1769" s="6">
        <v>0.12425947145940323</v>
      </c>
    </row>
    <row r="1770">
      <c r="A1770" s="3">
        <v>43408.0</v>
      </c>
      <c r="B1770" s="6">
        <v>0.12425947145940323</v>
      </c>
    </row>
    <row r="1771">
      <c r="A1771" s="3">
        <v>43409.0</v>
      </c>
      <c r="B1771" s="6">
        <v>0.12425947145940323</v>
      </c>
    </row>
    <row r="1772">
      <c r="A1772" s="3">
        <v>43410.0</v>
      </c>
      <c r="B1772" s="6">
        <v>0.12425947145940323</v>
      </c>
    </row>
    <row r="1773">
      <c r="A1773" s="3">
        <v>43411.0</v>
      </c>
      <c r="B1773" s="6">
        <v>0.12425947145940323</v>
      </c>
    </row>
    <row r="1774">
      <c r="A1774" s="3">
        <v>43412.0</v>
      </c>
      <c r="B1774" s="6">
        <v>0.12425947145940323</v>
      </c>
    </row>
    <row r="1775">
      <c r="A1775" s="3">
        <v>43413.0</v>
      </c>
      <c r="B1775" s="6">
        <v>0.12425947145940323</v>
      </c>
    </row>
    <row r="1776">
      <c r="A1776" s="3">
        <v>43414.0</v>
      </c>
      <c r="B1776" s="6">
        <v>0.12425947145940323</v>
      </c>
    </row>
    <row r="1777">
      <c r="A1777" s="3">
        <v>43415.0</v>
      </c>
      <c r="B1777" s="6">
        <v>0.12425947145940323</v>
      </c>
    </row>
    <row r="1778">
      <c r="A1778" s="3">
        <v>43416.0</v>
      </c>
      <c r="B1778" s="6">
        <v>0.12425947145940323</v>
      </c>
    </row>
    <row r="1779">
      <c r="A1779" s="3">
        <v>43417.0</v>
      </c>
      <c r="B1779" s="6">
        <v>0.12425947145940323</v>
      </c>
    </row>
    <row r="1780">
      <c r="A1780" s="3">
        <v>43418.0</v>
      </c>
      <c r="B1780" s="6">
        <v>0.12425947145940323</v>
      </c>
    </row>
    <row r="1781">
      <c r="A1781" s="3">
        <v>43419.0</v>
      </c>
      <c r="B1781" s="6">
        <v>0.12425947145940323</v>
      </c>
    </row>
    <row r="1782">
      <c r="A1782" s="3">
        <v>43420.0</v>
      </c>
      <c r="B1782" s="6">
        <v>0.12425947145940323</v>
      </c>
    </row>
    <row r="1783">
      <c r="A1783" s="3">
        <v>43421.0</v>
      </c>
      <c r="B1783" s="6">
        <v>0.12425947145940323</v>
      </c>
    </row>
    <row r="1784">
      <c r="A1784" s="3">
        <v>43422.0</v>
      </c>
      <c r="B1784" s="6">
        <v>0.12425947145940323</v>
      </c>
    </row>
    <row r="1785">
      <c r="A1785" s="3">
        <v>43423.0</v>
      </c>
      <c r="B1785" s="6">
        <v>0.12425947145940323</v>
      </c>
    </row>
    <row r="1786">
      <c r="A1786" s="3">
        <v>43424.0</v>
      </c>
      <c r="B1786" s="6">
        <v>0.12425947145940323</v>
      </c>
    </row>
    <row r="1787">
      <c r="A1787" s="3">
        <v>43425.0</v>
      </c>
      <c r="B1787" s="6">
        <v>0.12425947145940323</v>
      </c>
    </row>
    <row r="1788">
      <c r="A1788" s="3">
        <v>43426.0</v>
      </c>
      <c r="B1788" s="6">
        <v>0.12425947145940323</v>
      </c>
    </row>
    <row r="1789">
      <c r="A1789" s="3">
        <v>43427.0</v>
      </c>
      <c r="B1789" s="6">
        <v>0.12425947145940323</v>
      </c>
    </row>
    <row r="1790">
      <c r="A1790" s="3">
        <v>43428.0</v>
      </c>
      <c r="B1790" s="6">
        <v>0.12425947145940323</v>
      </c>
    </row>
    <row r="1791">
      <c r="A1791" s="3">
        <v>43429.0</v>
      </c>
      <c r="B1791" s="6">
        <v>0.12425947145940323</v>
      </c>
    </row>
    <row r="1792">
      <c r="A1792" s="3">
        <v>43430.0</v>
      </c>
      <c r="B1792" s="6">
        <v>0.12425947145940323</v>
      </c>
    </row>
    <row r="1793">
      <c r="A1793" s="3">
        <v>43431.0</v>
      </c>
      <c r="B1793" s="6">
        <v>0.12425947145940323</v>
      </c>
    </row>
    <row r="1794">
      <c r="A1794" s="3">
        <v>43432.0</v>
      </c>
      <c r="B1794" s="6">
        <v>0.12425947145940323</v>
      </c>
    </row>
    <row r="1795">
      <c r="A1795" s="3">
        <v>43433.0</v>
      </c>
      <c r="B1795" s="6">
        <v>0.12425947145940323</v>
      </c>
    </row>
    <row r="1796">
      <c r="A1796" s="3">
        <v>43434.0</v>
      </c>
      <c r="B1796" s="6">
        <v>0.12425947145940323</v>
      </c>
    </row>
    <row r="1797">
      <c r="A1797" s="3">
        <v>43435.0</v>
      </c>
      <c r="B1797" s="6">
        <v>0.12425947145940323</v>
      </c>
    </row>
    <row r="1798">
      <c r="A1798" s="3">
        <v>43436.0</v>
      </c>
      <c r="B1798" s="6">
        <v>0.12425947145940323</v>
      </c>
    </row>
    <row r="1799">
      <c r="A1799" s="3">
        <v>43437.0</v>
      </c>
      <c r="B1799" s="6">
        <v>0.12425947145940323</v>
      </c>
    </row>
    <row r="1800">
      <c r="A1800" s="3">
        <v>43438.0</v>
      </c>
      <c r="B1800" s="6">
        <v>0.12425947145940323</v>
      </c>
    </row>
    <row r="1801">
      <c r="A1801" s="3">
        <v>43439.0</v>
      </c>
      <c r="B1801" s="6">
        <v>0.12425947145940323</v>
      </c>
    </row>
    <row r="1802">
      <c r="A1802" s="3">
        <v>43440.0</v>
      </c>
      <c r="B1802" s="6">
        <v>0.12425947145940323</v>
      </c>
    </row>
    <row r="1803">
      <c r="A1803" s="3">
        <v>43441.0</v>
      </c>
      <c r="B1803" s="6">
        <v>0.12425947145940323</v>
      </c>
    </row>
    <row r="1804">
      <c r="A1804" s="3">
        <v>43442.0</v>
      </c>
      <c r="B1804" s="6">
        <v>0.12425947145940323</v>
      </c>
    </row>
    <row r="1805">
      <c r="A1805" s="3">
        <v>43443.0</v>
      </c>
      <c r="B1805" s="6">
        <v>0.12425947145940323</v>
      </c>
    </row>
    <row r="1806">
      <c r="A1806" s="3">
        <v>43444.0</v>
      </c>
      <c r="B1806" s="6">
        <v>0.12425947145940323</v>
      </c>
    </row>
    <row r="1807">
      <c r="A1807" s="3">
        <v>43445.0</v>
      </c>
      <c r="B1807" s="6">
        <v>0.12425947145940323</v>
      </c>
    </row>
    <row r="1808">
      <c r="A1808" s="3">
        <v>43446.0</v>
      </c>
      <c r="B1808" s="6">
        <v>0.12425947145940323</v>
      </c>
    </row>
    <row r="1809">
      <c r="A1809" s="3">
        <v>43447.0</v>
      </c>
      <c r="B1809" s="6">
        <v>0.12425947145940323</v>
      </c>
    </row>
    <row r="1810">
      <c r="A1810" s="3">
        <v>43448.0</v>
      </c>
      <c r="B1810" s="6">
        <v>0.12425947145940323</v>
      </c>
    </row>
    <row r="1811">
      <c r="A1811" s="3">
        <v>43449.0</v>
      </c>
      <c r="B1811" s="6">
        <v>0.12425947145940323</v>
      </c>
    </row>
    <row r="1812">
      <c r="A1812" s="3">
        <v>43450.0</v>
      </c>
      <c r="B1812" s="6">
        <v>0.12425947145940323</v>
      </c>
    </row>
    <row r="1813">
      <c r="A1813" s="3">
        <v>43451.0</v>
      </c>
      <c r="B1813" s="6">
        <v>0.12425947145940323</v>
      </c>
    </row>
    <row r="1814">
      <c r="A1814" s="3">
        <v>43452.0</v>
      </c>
      <c r="B1814" s="6">
        <v>0.12425947145940323</v>
      </c>
    </row>
    <row r="1815">
      <c r="A1815" s="3">
        <v>43453.0</v>
      </c>
      <c r="B1815" s="6">
        <v>0.12425947145940323</v>
      </c>
    </row>
    <row r="1816">
      <c r="A1816" s="3">
        <v>43454.0</v>
      </c>
      <c r="B1816" s="6">
        <v>0.12425947145940323</v>
      </c>
    </row>
    <row r="1817">
      <c r="A1817" s="3">
        <v>43455.0</v>
      </c>
      <c r="B1817" s="6">
        <v>0.12425947145940323</v>
      </c>
    </row>
    <row r="1818">
      <c r="A1818" s="3">
        <v>43456.0</v>
      </c>
      <c r="B1818" s="6">
        <v>0.12425947145940323</v>
      </c>
    </row>
    <row r="1819">
      <c r="A1819" s="3">
        <v>43457.0</v>
      </c>
      <c r="B1819" s="6">
        <v>0.12425947145940323</v>
      </c>
    </row>
    <row r="1820">
      <c r="A1820" s="3">
        <v>43458.0</v>
      </c>
      <c r="B1820" s="6">
        <v>0.12425947145940323</v>
      </c>
    </row>
    <row r="1821">
      <c r="A1821" s="3">
        <v>43459.0</v>
      </c>
      <c r="B1821" s="6">
        <v>0.12425947145940323</v>
      </c>
    </row>
    <row r="1822">
      <c r="A1822" s="3">
        <v>43460.0</v>
      </c>
      <c r="B1822" s="6">
        <v>0.12425947145940323</v>
      </c>
    </row>
    <row r="1823">
      <c r="A1823" s="3">
        <v>43461.0</v>
      </c>
      <c r="B1823" s="6">
        <v>0.12425947145940323</v>
      </c>
    </row>
    <row r="1824">
      <c r="A1824" s="3">
        <v>43462.0</v>
      </c>
      <c r="B1824" s="6">
        <v>0.12425947145940323</v>
      </c>
    </row>
    <row r="1825">
      <c r="A1825" s="3">
        <v>43463.0</v>
      </c>
      <c r="B1825" s="6">
        <v>0.12425947145940323</v>
      </c>
    </row>
    <row r="1826">
      <c r="A1826" s="3">
        <v>43464.0</v>
      </c>
      <c r="B1826" s="6">
        <v>0.12425947145940323</v>
      </c>
    </row>
    <row r="1827">
      <c r="A1827" s="3">
        <v>43465.0</v>
      </c>
      <c r="B1827" s="6">
        <v>0.12425947145940323</v>
      </c>
    </row>
    <row r="1828">
      <c r="A1828" s="3">
        <v>43466.0</v>
      </c>
      <c r="B1828" s="6">
        <v>0.11809973463889886</v>
      </c>
    </row>
    <row r="1829">
      <c r="A1829" s="3">
        <v>43467.0</v>
      </c>
      <c r="B1829" s="6">
        <v>0.11809973463889886</v>
      </c>
    </row>
    <row r="1830">
      <c r="A1830" s="3">
        <v>43468.0</v>
      </c>
      <c r="B1830" s="6">
        <v>0.11809973463889886</v>
      </c>
    </row>
    <row r="1831">
      <c r="A1831" s="3">
        <v>43469.0</v>
      </c>
      <c r="B1831" s="6">
        <v>0.11809973463889886</v>
      </c>
    </row>
    <row r="1832">
      <c r="A1832" s="3">
        <v>43470.0</v>
      </c>
      <c r="B1832" s="6">
        <v>0.11809973463889886</v>
      </c>
    </row>
    <row r="1833">
      <c r="A1833" s="3">
        <v>43471.0</v>
      </c>
      <c r="B1833" s="6">
        <v>0.11809973463889886</v>
      </c>
    </row>
    <row r="1834">
      <c r="A1834" s="3">
        <v>43472.0</v>
      </c>
      <c r="B1834" s="6">
        <v>0.11809973463889886</v>
      </c>
    </row>
    <row r="1835">
      <c r="A1835" s="3">
        <v>43473.0</v>
      </c>
      <c r="B1835" s="6">
        <v>0.11809973463889886</v>
      </c>
    </row>
    <row r="1836">
      <c r="A1836" s="3">
        <v>43474.0</v>
      </c>
      <c r="B1836" s="6">
        <v>0.11809973463889886</v>
      </c>
    </row>
    <row r="1837">
      <c r="A1837" s="3">
        <v>43475.0</v>
      </c>
      <c r="B1837" s="6">
        <v>0.11809973463889886</v>
      </c>
    </row>
    <row r="1838">
      <c r="A1838" s="3">
        <v>43476.0</v>
      </c>
      <c r="B1838" s="6">
        <v>0.11809973463889886</v>
      </c>
    </row>
    <row r="1839">
      <c r="A1839" s="3">
        <v>43477.0</v>
      </c>
      <c r="B1839" s="6">
        <v>0.11809973463889886</v>
      </c>
    </row>
    <row r="1840">
      <c r="A1840" s="3">
        <v>43478.0</v>
      </c>
      <c r="B1840" s="6">
        <v>0.11809973463889886</v>
      </c>
    </row>
    <row r="1841">
      <c r="A1841" s="3">
        <v>43479.0</v>
      </c>
      <c r="B1841" s="6">
        <v>0.11809973463889886</v>
      </c>
    </row>
    <row r="1842">
      <c r="A1842" s="3">
        <v>43480.0</v>
      </c>
      <c r="B1842" s="6">
        <v>0.11809973463889886</v>
      </c>
    </row>
    <row r="1843">
      <c r="A1843" s="3">
        <v>43481.0</v>
      </c>
      <c r="B1843" s="6">
        <v>0.11809973463889886</v>
      </c>
    </row>
    <row r="1844">
      <c r="A1844" s="3">
        <v>43482.0</v>
      </c>
      <c r="B1844" s="6">
        <v>0.11809973463889886</v>
      </c>
    </row>
    <row r="1845">
      <c r="A1845" s="3">
        <v>43483.0</v>
      </c>
      <c r="B1845" s="6">
        <v>0.11809973463889886</v>
      </c>
    </row>
    <row r="1846">
      <c r="A1846" s="3">
        <v>43484.0</v>
      </c>
      <c r="B1846" s="6">
        <v>0.11809973463889886</v>
      </c>
    </row>
    <row r="1847">
      <c r="A1847" s="3">
        <v>43485.0</v>
      </c>
      <c r="B1847" s="6">
        <v>0.11809973463889886</v>
      </c>
    </row>
    <row r="1848">
      <c r="A1848" s="3">
        <v>43486.0</v>
      </c>
      <c r="B1848" s="6">
        <v>0.11809973463889886</v>
      </c>
    </row>
    <row r="1849">
      <c r="A1849" s="3">
        <v>43487.0</v>
      </c>
      <c r="B1849" s="6">
        <v>0.11809973463889886</v>
      </c>
    </row>
    <row r="1850">
      <c r="A1850" s="3">
        <v>43488.0</v>
      </c>
      <c r="B1850" s="6">
        <v>0.11809973463889886</v>
      </c>
    </row>
    <row r="1851">
      <c r="A1851" s="3">
        <v>43489.0</v>
      </c>
      <c r="B1851" s="6">
        <v>0.11809973463889886</v>
      </c>
    </row>
    <row r="1852">
      <c r="A1852" s="3">
        <v>43490.0</v>
      </c>
      <c r="B1852" s="6">
        <v>0.11809973463889886</v>
      </c>
    </row>
    <row r="1853">
      <c r="A1853" s="3">
        <v>43491.0</v>
      </c>
      <c r="B1853" s="6">
        <v>0.11809973463889886</v>
      </c>
    </row>
    <row r="1854">
      <c r="A1854" s="3">
        <v>43492.0</v>
      </c>
      <c r="B1854" s="6">
        <v>0.11809973463889886</v>
      </c>
    </row>
    <row r="1855">
      <c r="A1855" s="3">
        <v>43493.0</v>
      </c>
      <c r="B1855" s="6">
        <v>0.11809973463889886</v>
      </c>
    </row>
    <row r="1856">
      <c r="A1856" s="3">
        <v>43494.0</v>
      </c>
      <c r="B1856" s="6">
        <v>0.11809973463889886</v>
      </c>
    </row>
    <row r="1857">
      <c r="A1857" s="3">
        <v>43495.0</v>
      </c>
      <c r="B1857" s="6">
        <v>0.11809973463889886</v>
      </c>
    </row>
    <row r="1858">
      <c r="A1858" s="3">
        <v>43496.0</v>
      </c>
      <c r="B1858" s="6">
        <v>0.11809973463889886</v>
      </c>
    </row>
    <row r="1859">
      <c r="A1859" s="3">
        <v>43497.0</v>
      </c>
      <c r="B1859" s="6">
        <v>0.11809973463889886</v>
      </c>
    </row>
    <row r="1860">
      <c r="A1860" s="3">
        <v>43498.0</v>
      </c>
      <c r="B1860" s="6">
        <v>0.11809973463889886</v>
      </c>
    </row>
    <row r="1861">
      <c r="A1861" s="3">
        <v>43499.0</v>
      </c>
      <c r="B1861" s="6">
        <v>0.11809973463889886</v>
      </c>
    </row>
    <row r="1862">
      <c r="A1862" s="3">
        <v>43500.0</v>
      </c>
      <c r="B1862" s="6">
        <v>0.11809973463889886</v>
      </c>
    </row>
    <row r="1863">
      <c r="A1863" s="3">
        <v>43501.0</v>
      </c>
      <c r="B1863" s="6">
        <v>0.11809973463889886</v>
      </c>
    </row>
    <row r="1864">
      <c r="A1864" s="3">
        <v>43502.0</v>
      </c>
      <c r="B1864" s="6">
        <v>0.11809973463889886</v>
      </c>
    </row>
    <row r="1865">
      <c r="A1865" s="3">
        <v>43503.0</v>
      </c>
      <c r="B1865" s="6">
        <v>0.11809973463889886</v>
      </c>
    </row>
    <row r="1866">
      <c r="A1866" s="3">
        <v>43504.0</v>
      </c>
      <c r="B1866" s="6">
        <v>0.11809973463889886</v>
      </c>
    </row>
    <row r="1867">
      <c r="A1867" s="3">
        <v>43505.0</v>
      </c>
      <c r="B1867" s="6">
        <v>0.11809973463889886</v>
      </c>
    </row>
    <row r="1868">
      <c r="A1868" s="3">
        <v>43506.0</v>
      </c>
      <c r="B1868" s="6">
        <v>0.11809973463889886</v>
      </c>
    </row>
    <row r="1869">
      <c r="A1869" s="3">
        <v>43507.0</v>
      </c>
      <c r="B1869" s="6">
        <v>0.11809973463889886</v>
      </c>
    </row>
    <row r="1870">
      <c r="A1870" s="3">
        <v>43508.0</v>
      </c>
      <c r="B1870" s="6">
        <v>0.11809973463889886</v>
      </c>
    </row>
    <row r="1871">
      <c r="A1871" s="3">
        <v>43509.0</v>
      </c>
      <c r="B1871" s="6">
        <v>0.11809973463889886</v>
      </c>
    </row>
    <row r="1872">
      <c r="A1872" s="3">
        <v>43510.0</v>
      </c>
      <c r="B1872" s="6">
        <v>0.11809973463889886</v>
      </c>
    </row>
    <row r="1873">
      <c r="A1873" s="3">
        <v>43511.0</v>
      </c>
      <c r="B1873" s="6">
        <v>0.11809973463889886</v>
      </c>
    </row>
    <row r="1874">
      <c r="A1874" s="3">
        <v>43512.0</v>
      </c>
      <c r="B1874" s="6">
        <v>0.11809973463889886</v>
      </c>
    </row>
    <row r="1875">
      <c r="A1875" s="3">
        <v>43513.0</v>
      </c>
      <c r="B1875" s="6">
        <v>0.11809973463889886</v>
      </c>
    </row>
    <row r="1876">
      <c r="A1876" s="3">
        <v>43514.0</v>
      </c>
      <c r="B1876" s="6">
        <v>0.11809973463889886</v>
      </c>
    </row>
    <row r="1877">
      <c r="A1877" s="3">
        <v>43515.0</v>
      </c>
      <c r="B1877" s="6">
        <v>0.11809973463889886</v>
      </c>
    </row>
    <row r="1878">
      <c r="A1878" s="3">
        <v>43516.0</v>
      </c>
      <c r="B1878" s="6">
        <v>0.11809973463889886</v>
      </c>
    </row>
    <row r="1879">
      <c r="A1879" s="3">
        <v>43517.0</v>
      </c>
      <c r="B1879" s="6">
        <v>0.11809973463889886</v>
      </c>
    </row>
    <row r="1880">
      <c r="A1880" s="3">
        <v>43518.0</v>
      </c>
      <c r="B1880" s="6">
        <v>0.11809973463889886</v>
      </c>
    </row>
    <row r="1881">
      <c r="A1881" s="3">
        <v>43519.0</v>
      </c>
      <c r="B1881" s="6">
        <v>0.11809973463889886</v>
      </c>
    </row>
    <row r="1882">
      <c r="A1882" s="3">
        <v>43520.0</v>
      </c>
      <c r="B1882" s="6">
        <v>0.11809973463889886</v>
      </c>
    </row>
    <row r="1883">
      <c r="A1883" s="3">
        <v>43521.0</v>
      </c>
      <c r="B1883" s="6">
        <v>0.11809973463889886</v>
      </c>
    </row>
    <row r="1884">
      <c r="A1884" s="3">
        <v>43522.0</v>
      </c>
      <c r="B1884" s="6">
        <v>0.11809973463889886</v>
      </c>
    </row>
    <row r="1885">
      <c r="A1885" s="3">
        <v>43523.0</v>
      </c>
      <c r="B1885" s="6">
        <v>0.11809973463889886</v>
      </c>
    </row>
    <row r="1886">
      <c r="A1886" s="3">
        <v>43524.0</v>
      </c>
      <c r="B1886" s="6">
        <v>0.11809973463889886</v>
      </c>
    </row>
    <row r="1887">
      <c r="A1887" s="3">
        <v>43525.0</v>
      </c>
      <c r="B1887" s="6">
        <v>0.11809973463889886</v>
      </c>
    </row>
    <row r="1888">
      <c r="A1888" s="3">
        <v>43526.0</v>
      </c>
      <c r="B1888" s="6">
        <v>0.11809973463889886</v>
      </c>
    </row>
    <row r="1889">
      <c r="A1889" s="3">
        <v>43527.0</v>
      </c>
      <c r="B1889" s="6">
        <v>0.11809973463889886</v>
      </c>
    </row>
    <row r="1890">
      <c r="A1890" s="3">
        <v>43528.0</v>
      </c>
      <c r="B1890" s="6">
        <v>0.11809973463889886</v>
      </c>
    </row>
    <row r="1891">
      <c r="A1891" s="3">
        <v>43529.0</v>
      </c>
      <c r="B1891" s="6">
        <v>0.11809973463889886</v>
      </c>
    </row>
    <row r="1892">
      <c r="A1892" s="3">
        <v>43530.0</v>
      </c>
      <c r="B1892" s="6">
        <v>0.11809973463889886</v>
      </c>
    </row>
    <row r="1893">
      <c r="A1893" s="3">
        <v>43531.0</v>
      </c>
      <c r="B1893" s="6">
        <v>0.11809973463889886</v>
      </c>
    </row>
    <row r="1894">
      <c r="A1894" s="3">
        <v>43532.0</v>
      </c>
      <c r="B1894" s="6">
        <v>0.11809973463889886</v>
      </c>
    </row>
    <row r="1895">
      <c r="A1895" s="3">
        <v>43533.0</v>
      </c>
      <c r="B1895" s="6">
        <v>0.11809973463889886</v>
      </c>
    </row>
    <row r="1896">
      <c r="A1896" s="3">
        <v>43534.0</v>
      </c>
      <c r="B1896" s="6">
        <v>0.11809973463889886</v>
      </c>
    </row>
    <row r="1897">
      <c r="A1897" s="3">
        <v>43535.0</v>
      </c>
      <c r="B1897" s="6">
        <v>0.11809973463889886</v>
      </c>
    </row>
    <row r="1898">
      <c r="A1898" s="3">
        <v>43536.0</v>
      </c>
      <c r="B1898" s="6">
        <v>0.11809973463889886</v>
      </c>
    </row>
    <row r="1899">
      <c r="A1899" s="3">
        <v>43537.0</v>
      </c>
      <c r="B1899" s="6">
        <v>0.11809973463889886</v>
      </c>
    </row>
    <row r="1900">
      <c r="A1900" s="3">
        <v>43538.0</v>
      </c>
      <c r="B1900" s="6">
        <v>0.11809973463889886</v>
      </c>
    </row>
    <row r="1901">
      <c r="A1901" s="3">
        <v>43539.0</v>
      </c>
      <c r="B1901" s="6">
        <v>0.11809973463889886</v>
      </c>
    </row>
    <row r="1902">
      <c r="A1902" s="3">
        <v>43540.0</v>
      </c>
      <c r="B1902" s="6">
        <v>0.11809973463889886</v>
      </c>
    </row>
    <row r="1903">
      <c r="A1903" s="3">
        <v>43541.0</v>
      </c>
      <c r="B1903" s="6">
        <v>0.11809973463889886</v>
      </c>
    </row>
    <row r="1904">
      <c r="A1904" s="3">
        <v>43542.0</v>
      </c>
      <c r="B1904" s="6">
        <v>0.11809973463889886</v>
      </c>
    </row>
    <row r="1905">
      <c r="A1905" s="3">
        <v>43543.0</v>
      </c>
      <c r="B1905" s="6">
        <v>0.11809973463889886</v>
      </c>
    </row>
    <row r="1906">
      <c r="A1906" s="3">
        <v>43544.0</v>
      </c>
      <c r="B1906" s="6">
        <v>0.11809973463889886</v>
      </c>
    </row>
    <row r="1907">
      <c r="A1907" s="3">
        <v>43545.0</v>
      </c>
      <c r="B1907" s="6">
        <v>0.11809973463889886</v>
      </c>
    </row>
    <row r="1908">
      <c r="A1908" s="3">
        <v>43546.0</v>
      </c>
      <c r="B1908" s="6">
        <v>0.11809973463889886</v>
      </c>
    </row>
    <row r="1909">
      <c r="A1909" s="3">
        <v>43547.0</v>
      </c>
      <c r="B1909" s="6">
        <v>0.11809973463889886</v>
      </c>
    </row>
    <row r="1910">
      <c r="A1910" s="3">
        <v>43548.0</v>
      </c>
      <c r="B1910" s="6">
        <v>0.11809973463889886</v>
      </c>
    </row>
    <row r="1911">
      <c r="A1911" s="3">
        <v>43549.0</v>
      </c>
      <c r="B1911" s="6">
        <v>0.11809973463889886</v>
      </c>
    </row>
    <row r="1912">
      <c r="A1912" s="3">
        <v>43550.0</v>
      </c>
      <c r="B1912" s="6">
        <v>0.11809973463889886</v>
      </c>
    </row>
    <row r="1913">
      <c r="A1913" s="3">
        <v>43551.0</v>
      </c>
      <c r="B1913" s="6">
        <v>0.11809973463889886</v>
      </c>
    </row>
    <row r="1914">
      <c r="A1914" s="3">
        <v>43552.0</v>
      </c>
      <c r="B1914" s="6">
        <v>0.11809973463889886</v>
      </c>
    </row>
    <row r="1915">
      <c r="A1915" s="3">
        <v>43553.0</v>
      </c>
      <c r="B1915" s="6">
        <v>0.11809973463889886</v>
      </c>
    </row>
    <row r="1916">
      <c r="A1916" s="3">
        <v>43554.0</v>
      </c>
      <c r="B1916" s="6">
        <v>0.11809973463889886</v>
      </c>
    </row>
    <row r="1917">
      <c r="A1917" s="3">
        <v>43555.0</v>
      </c>
      <c r="B1917" s="6">
        <v>0.11809973463889886</v>
      </c>
    </row>
    <row r="1918">
      <c r="A1918" s="3">
        <v>43556.0</v>
      </c>
      <c r="B1918" s="6">
        <v>0.11809973463889886</v>
      </c>
    </row>
    <row r="1919">
      <c r="A1919" s="3">
        <v>43557.0</v>
      </c>
      <c r="B1919" s="6">
        <v>0.11809973463889886</v>
      </c>
    </row>
    <row r="1920">
      <c r="A1920" s="3">
        <v>43558.0</v>
      </c>
      <c r="B1920" s="6">
        <v>0.11809973463889886</v>
      </c>
    </row>
    <row r="1921">
      <c r="A1921" s="3">
        <v>43559.0</v>
      </c>
      <c r="B1921" s="6">
        <v>0.11809973463889886</v>
      </c>
    </row>
    <row r="1922">
      <c r="A1922" s="3">
        <v>43560.0</v>
      </c>
      <c r="B1922" s="6">
        <v>0.11809973463889886</v>
      </c>
    </row>
    <row r="1923">
      <c r="A1923" s="3">
        <v>43561.0</v>
      </c>
      <c r="B1923" s="6">
        <v>0.11809973463889886</v>
      </c>
    </row>
    <row r="1924">
      <c r="A1924" s="3">
        <v>43562.0</v>
      </c>
      <c r="B1924" s="6">
        <v>0.11809973463889886</v>
      </c>
    </row>
    <row r="1925">
      <c r="A1925" s="3">
        <v>43563.0</v>
      </c>
      <c r="B1925" s="6">
        <v>0.11809973463889886</v>
      </c>
    </row>
    <row r="1926">
      <c r="A1926" s="3">
        <v>43564.0</v>
      </c>
      <c r="B1926" s="6">
        <v>0.11809973463889886</v>
      </c>
    </row>
    <row r="1927">
      <c r="A1927" s="3">
        <v>43565.0</v>
      </c>
      <c r="B1927" s="6">
        <v>0.11809973463889886</v>
      </c>
    </row>
    <row r="1928">
      <c r="A1928" s="3">
        <v>43566.0</v>
      </c>
      <c r="B1928" s="6">
        <v>0.11809973463889886</v>
      </c>
    </row>
    <row r="1929">
      <c r="A1929" s="3">
        <v>43567.0</v>
      </c>
      <c r="B1929" s="6">
        <v>0.11809973463889886</v>
      </c>
    </row>
    <row r="1930">
      <c r="A1930" s="3">
        <v>43568.0</v>
      </c>
      <c r="B1930" s="6">
        <v>0.11809973463889886</v>
      </c>
    </row>
    <row r="1931">
      <c r="A1931" s="3">
        <v>43569.0</v>
      </c>
      <c r="B1931" s="6">
        <v>0.11809973463889886</v>
      </c>
    </row>
    <row r="1932">
      <c r="A1932" s="3">
        <v>43570.0</v>
      </c>
      <c r="B1932" s="6">
        <v>0.11809973463889886</v>
      </c>
    </row>
    <row r="1933">
      <c r="A1933" s="3">
        <v>43571.0</v>
      </c>
      <c r="B1933" s="6">
        <v>0.11809973463889886</v>
      </c>
    </row>
    <row r="1934">
      <c r="A1934" s="3">
        <v>43572.0</v>
      </c>
      <c r="B1934" s="6">
        <v>0.11809973463889886</v>
      </c>
    </row>
    <row r="1935">
      <c r="A1935" s="3">
        <v>43573.0</v>
      </c>
      <c r="B1935" s="6">
        <v>0.11809973463889886</v>
      </c>
    </row>
    <row r="1936">
      <c r="A1936" s="3">
        <v>43574.0</v>
      </c>
      <c r="B1936" s="6">
        <v>0.11809973463889886</v>
      </c>
    </row>
    <row r="1937">
      <c r="A1937" s="3">
        <v>43575.0</v>
      </c>
      <c r="B1937" s="6">
        <v>0.11809973463889886</v>
      </c>
    </row>
    <row r="1938">
      <c r="A1938" s="3">
        <v>43576.0</v>
      </c>
      <c r="B1938" s="6">
        <v>0.11809973463889886</v>
      </c>
    </row>
    <row r="1939">
      <c r="A1939" s="3">
        <v>43577.0</v>
      </c>
      <c r="B1939" s="6">
        <v>0.11809973463889886</v>
      </c>
    </row>
    <row r="1940">
      <c r="A1940" s="3">
        <v>43578.0</v>
      </c>
      <c r="B1940" s="6">
        <v>0.11809973463889886</v>
      </c>
    </row>
    <row r="1941">
      <c r="A1941" s="3">
        <v>43579.0</v>
      </c>
      <c r="B1941" s="6">
        <v>0.11809973463889886</v>
      </c>
    </row>
    <row r="1942">
      <c r="A1942" s="3">
        <v>43580.0</v>
      </c>
      <c r="B1942" s="6">
        <v>0.11809973463889886</v>
      </c>
    </row>
    <row r="1943">
      <c r="A1943" s="3">
        <v>43581.0</v>
      </c>
      <c r="B1943" s="6">
        <v>0.11809973463889886</v>
      </c>
    </row>
    <row r="1944">
      <c r="A1944" s="3">
        <v>43582.0</v>
      </c>
      <c r="B1944" s="6">
        <v>0.11809973463889886</v>
      </c>
    </row>
    <row r="1945">
      <c r="A1945" s="3">
        <v>43583.0</v>
      </c>
      <c r="B1945" s="6">
        <v>0.11809973463889886</v>
      </c>
    </row>
    <row r="1946">
      <c r="A1946" s="3">
        <v>43584.0</v>
      </c>
      <c r="B1946" s="6">
        <v>0.11809973463889886</v>
      </c>
    </row>
    <row r="1947">
      <c r="A1947" s="3">
        <v>43585.0</v>
      </c>
      <c r="B1947" s="6">
        <v>0.11809973463889886</v>
      </c>
    </row>
    <row r="1948">
      <c r="A1948" s="3">
        <v>43586.0</v>
      </c>
      <c r="B1948" s="6">
        <v>0.11809973463889886</v>
      </c>
    </row>
    <row r="1949">
      <c r="A1949" s="3">
        <v>43587.0</v>
      </c>
      <c r="B1949" s="6">
        <v>0.11809973463889886</v>
      </c>
    </row>
    <row r="1950">
      <c r="A1950" s="3">
        <v>43588.0</v>
      </c>
      <c r="B1950" s="6">
        <v>0.11809973463889886</v>
      </c>
    </row>
    <row r="1951">
      <c r="A1951" s="3">
        <v>43589.0</v>
      </c>
      <c r="B1951" s="6">
        <v>0.11809973463889886</v>
      </c>
    </row>
    <row r="1952">
      <c r="A1952" s="3">
        <v>43590.0</v>
      </c>
      <c r="B1952" s="6">
        <v>0.11809973463889886</v>
      </c>
    </row>
    <row r="1953">
      <c r="A1953" s="3">
        <v>43591.0</v>
      </c>
      <c r="B1953" s="6">
        <v>0.11809973463889886</v>
      </c>
    </row>
    <row r="1954">
      <c r="A1954" s="3">
        <v>43592.0</v>
      </c>
      <c r="B1954" s="6">
        <v>0.11809973463889886</v>
      </c>
    </row>
    <row r="1955">
      <c r="A1955" s="3">
        <v>43593.0</v>
      </c>
      <c r="B1955" s="6">
        <v>0.11809973463889886</v>
      </c>
    </row>
    <row r="1956">
      <c r="A1956" s="3">
        <v>43594.0</v>
      </c>
      <c r="B1956" s="6">
        <v>0.11809973463889886</v>
      </c>
    </row>
    <row r="1957">
      <c r="A1957" s="3">
        <v>43595.0</v>
      </c>
      <c r="B1957" s="6">
        <v>0.11809973463889886</v>
      </c>
    </row>
    <row r="1958">
      <c r="A1958" s="3">
        <v>43596.0</v>
      </c>
      <c r="B1958" s="6">
        <v>0.11809973463889886</v>
      </c>
    </row>
    <row r="1959">
      <c r="A1959" s="3">
        <v>43597.0</v>
      </c>
      <c r="B1959" s="6">
        <v>0.11809973463889886</v>
      </c>
    </row>
    <row r="1960">
      <c r="A1960" s="3">
        <v>43598.0</v>
      </c>
      <c r="B1960" s="6">
        <v>0.11809973463889886</v>
      </c>
    </row>
    <row r="1961">
      <c r="A1961" s="3">
        <v>43599.0</v>
      </c>
      <c r="B1961" s="6">
        <v>0.11809973463889886</v>
      </c>
    </row>
    <row r="1962">
      <c r="A1962" s="3">
        <v>43600.0</v>
      </c>
      <c r="B1962" s="6">
        <v>0.11809973463889886</v>
      </c>
    </row>
    <row r="1963">
      <c r="A1963" s="3">
        <v>43601.0</v>
      </c>
      <c r="B1963" s="6">
        <v>0.11809973463889886</v>
      </c>
    </row>
    <row r="1964">
      <c r="A1964" s="3">
        <v>43602.0</v>
      </c>
      <c r="B1964" s="6">
        <v>0.11809973463889886</v>
      </c>
    </row>
    <row r="1965">
      <c r="A1965" s="3">
        <v>43603.0</v>
      </c>
      <c r="B1965" s="6">
        <v>0.11809973463889886</v>
      </c>
    </row>
    <row r="1966">
      <c r="A1966" s="3">
        <v>43604.0</v>
      </c>
      <c r="B1966" s="6">
        <v>0.11809973463889886</v>
      </c>
    </row>
    <row r="1967">
      <c r="A1967" s="3">
        <v>43605.0</v>
      </c>
      <c r="B1967" s="6">
        <v>0.11809973463889886</v>
      </c>
    </row>
    <row r="1968">
      <c r="A1968" s="3">
        <v>43606.0</v>
      </c>
      <c r="B1968" s="6">
        <v>0.11809973463889886</v>
      </c>
    </row>
    <row r="1969">
      <c r="A1969" s="3">
        <v>43607.0</v>
      </c>
      <c r="B1969" s="6">
        <v>0.11809973463889886</v>
      </c>
    </row>
    <row r="1970">
      <c r="A1970" s="3">
        <v>43608.0</v>
      </c>
      <c r="B1970" s="6">
        <v>0.11809973463889886</v>
      </c>
    </row>
    <row r="1971">
      <c r="A1971" s="3">
        <v>43609.0</v>
      </c>
      <c r="B1971" s="6">
        <v>0.11809973463889886</v>
      </c>
    </row>
    <row r="1972">
      <c r="A1972" s="3">
        <v>43610.0</v>
      </c>
      <c r="B1972" s="6">
        <v>0.11809973463889886</v>
      </c>
    </row>
    <row r="1973">
      <c r="A1973" s="3">
        <v>43611.0</v>
      </c>
      <c r="B1973" s="6">
        <v>0.11809973463889886</v>
      </c>
    </row>
    <row r="1974">
      <c r="A1974" s="3">
        <v>43612.0</v>
      </c>
      <c r="B1974" s="6">
        <v>0.11809973463889886</v>
      </c>
    </row>
    <row r="1975">
      <c r="A1975" s="3">
        <v>43613.0</v>
      </c>
      <c r="B1975" s="6">
        <v>0.11809973463889886</v>
      </c>
    </row>
    <row r="1976">
      <c r="A1976" s="3">
        <v>43614.0</v>
      </c>
      <c r="B1976" s="6">
        <v>0.11809973463889886</v>
      </c>
    </row>
    <row r="1977">
      <c r="A1977" s="3">
        <v>43615.0</v>
      </c>
      <c r="B1977" s="6">
        <v>0.11809973463889886</v>
      </c>
    </row>
    <row r="1978">
      <c r="A1978" s="3">
        <v>43616.0</v>
      </c>
      <c r="B1978" s="6">
        <v>0.11809973463889886</v>
      </c>
    </row>
    <row r="1979">
      <c r="A1979" s="3">
        <v>43617.0</v>
      </c>
      <c r="B1979" s="6">
        <v>0.11809973463889886</v>
      </c>
    </row>
    <row r="1980">
      <c r="A1980" s="3">
        <v>43618.0</v>
      </c>
      <c r="B1980" s="6">
        <v>0.11809973463889886</v>
      </c>
    </row>
    <row r="1981">
      <c r="A1981" s="3">
        <v>43619.0</v>
      </c>
      <c r="B1981" s="6">
        <v>0.11809973463889886</v>
      </c>
    </row>
    <row r="1982">
      <c r="A1982" s="3">
        <v>43620.0</v>
      </c>
      <c r="B1982" s="6">
        <v>0.11809973463889886</v>
      </c>
    </row>
    <row r="1983">
      <c r="A1983" s="3">
        <v>43621.0</v>
      </c>
      <c r="B1983" s="6">
        <v>0.11809973463889886</v>
      </c>
    </row>
    <row r="1984">
      <c r="A1984" s="3">
        <v>43622.0</v>
      </c>
      <c r="B1984" s="6">
        <v>0.11809973463889886</v>
      </c>
    </row>
    <row r="1985">
      <c r="A1985" s="3">
        <v>43623.0</v>
      </c>
      <c r="B1985" s="6">
        <v>0.11809973463889886</v>
      </c>
    </row>
    <row r="1986">
      <c r="A1986" s="3">
        <v>43624.0</v>
      </c>
      <c r="B1986" s="6">
        <v>0.11809973463889886</v>
      </c>
    </row>
    <row r="1987">
      <c r="A1987" s="3">
        <v>43625.0</v>
      </c>
      <c r="B1987" s="6">
        <v>0.11809973463889886</v>
      </c>
    </row>
    <row r="1988">
      <c r="A1988" s="3">
        <v>43626.0</v>
      </c>
      <c r="B1988" s="6">
        <v>0.11809973463889886</v>
      </c>
    </row>
    <row r="1989">
      <c r="A1989" s="3">
        <v>43627.0</v>
      </c>
      <c r="B1989" s="6">
        <v>0.11809973463889886</v>
      </c>
    </row>
    <row r="1990">
      <c r="A1990" s="3">
        <v>43628.0</v>
      </c>
      <c r="B1990" s="6">
        <v>0.11809973463889886</v>
      </c>
    </row>
    <row r="1991">
      <c r="A1991" s="3">
        <v>43629.0</v>
      </c>
      <c r="B1991" s="6">
        <v>0.11809973463889886</v>
      </c>
    </row>
    <row r="1992">
      <c r="A1992" s="3">
        <v>43630.0</v>
      </c>
      <c r="B1992" s="6">
        <v>0.11809973463889886</v>
      </c>
    </row>
    <row r="1993">
      <c r="A1993" s="3">
        <v>43631.0</v>
      </c>
      <c r="B1993" s="6">
        <v>0.11809973463889886</v>
      </c>
    </row>
    <row r="1994">
      <c r="A1994" s="3">
        <v>43632.0</v>
      </c>
      <c r="B1994" s="6">
        <v>0.11809973463889886</v>
      </c>
    </row>
    <row r="1995">
      <c r="A1995" s="3">
        <v>43633.0</v>
      </c>
      <c r="B1995" s="6">
        <v>0.11809973463889886</v>
      </c>
    </row>
    <row r="1996">
      <c r="A1996" s="3">
        <v>43634.0</v>
      </c>
      <c r="B1996" s="6">
        <v>0.11809973463889886</v>
      </c>
    </row>
    <row r="1997">
      <c r="A1997" s="3">
        <v>43635.0</v>
      </c>
      <c r="B1997" s="6">
        <v>0.11809973463889886</v>
      </c>
    </row>
    <row r="1998">
      <c r="A1998" s="3">
        <v>43636.0</v>
      </c>
      <c r="B1998" s="6">
        <v>0.11809973463889886</v>
      </c>
    </row>
    <row r="1999">
      <c r="A1999" s="3">
        <v>43637.0</v>
      </c>
      <c r="B1999" s="6">
        <v>0.11809973463889886</v>
      </c>
    </row>
    <row r="2000">
      <c r="A2000" s="3">
        <v>43638.0</v>
      </c>
      <c r="B2000" s="6">
        <v>0.11809973463889886</v>
      </c>
    </row>
    <row r="2001">
      <c r="A2001" s="3">
        <v>43639.0</v>
      </c>
      <c r="B2001" s="6">
        <v>0.11809973463889886</v>
      </c>
    </row>
    <row r="2002">
      <c r="A2002" s="3">
        <v>43640.0</v>
      </c>
      <c r="B2002" s="6">
        <v>0.11809973463889886</v>
      </c>
    </row>
    <row r="2003">
      <c r="A2003" s="3">
        <v>43641.0</v>
      </c>
      <c r="B2003" s="6">
        <v>0.11809973463889886</v>
      </c>
    </row>
    <row r="2004">
      <c r="A2004" s="3">
        <v>43642.0</v>
      </c>
      <c r="B2004" s="6">
        <v>0.11809973463889886</v>
      </c>
    </row>
    <row r="2005">
      <c r="A2005" s="3">
        <v>43643.0</v>
      </c>
      <c r="B2005" s="6">
        <v>0.11809973463889886</v>
      </c>
    </row>
    <row r="2006">
      <c r="A2006" s="3">
        <v>43644.0</v>
      </c>
      <c r="B2006" s="6">
        <v>0.11809973463889886</v>
      </c>
    </row>
    <row r="2007">
      <c r="A2007" s="3">
        <v>43645.0</v>
      </c>
      <c r="B2007" s="6">
        <v>0.11809973463889886</v>
      </c>
    </row>
    <row r="2008">
      <c r="A2008" s="3">
        <v>43646.0</v>
      </c>
      <c r="B2008" s="6">
        <v>0.11809973463889886</v>
      </c>
    </row>
    <row r="2009">
      <c r="A2009" s="3">
        <v>43647.0</v>
      </c>
      <c r="B2009" s="6">
        <v>0.13588697505312</v>
      </c>
    </row>
    <row r="2010">
      <c r="A2010" s="3">
        <v>43648.0</v>
      </c>
      <c r="B2010" s="6">
        <v>0.13588697505312</v>
      </c>
    </row>
    <row r="2011">
      <c r="A2011" s="3">
        <v>43649.0</v>
      </c>
      <c r="B2011" s="6">
        <v>0.13588697505312</v>
      </c>
    </row>
    <row r="2012">
      <c r="A2012" s="3">
        <v>43650.0</v>
      </c>
      <c r="B2012" s="6">
        <v>0.13588697505312</v>
      </c>
    </row>
    <row r="2013">
      <c r="A2013" s="3">
        <v>43651.0</v>
      </c>
      <c r="B2013" s="6">
        <v>0.13588697505312</v>
      </c>
    </row>
    <row r="2014">
      <c r="A2014" s="3">
        <v>43652.0</v>
      </c>
      <c r="B2014" s="6">
        <v>0.13588697505312</v>
      </c>
    </row>
    <row r="2015">
      <c r="A2015" s="3">
        <v>43653.0</v>
      </c>
      <c r="B2015" s="6">
        <v>0.13588697505312</v>
      </c>
    </row>
    <row r="2016">
      <c r="A2016" s="3">
        <v>43654.0</v>
      </c>
      <c r="B2016" s="6">
        <v>0.13588697505312</v>
      </c>
    </row>
    <row r="2017">
      <c r="A2017" s="3">
        <v>43655.0</v>
      </c>
      <c r="B2017" s="6">
        <v>0.13588697505312</v>
      </c>
    </row>
    <row r="2018">
      <c r="A2018" s="3">
        <v>43656.0</v>
      </c>
      <c r="B2018" s="6">
        <v>0.13588697505312</v>
      </c>
    </row>
    <row r="2019">
      <c r="A2019" s="3">
        <v>43657.0</v>
      </c>
      <c r="B2019" s="6">
        <v>0.13588697505312</v>
      </c>
    </row>
    <row r="2020">
      <c r="A2020" s="3">
        <v>43658.0</v>
      </c>
      <c r="B2020" s="6">
        <v>0.13588697505312</v>
      </c>
    </row>
    <row r="2021">
      <c r="A2021" s="3">
        <v>43659.0</v>
      </c>
      <c r="B2021" s="6">
        <v>0.13588697505312</v>
      </c>
    </row>
    <row r="2022">
      <c r="A2022" s="3">
        <v>43660.0</v>
      </c>
      <c r="B2022" s="6">
        <v>0.13588697505312</v>
      </c>
    </row>
    <row r="2023">
      <c r="A2023" s="3">
        <v>43661.0</v>
      </c>
      <c r="B2023" s="6">
        <v>0.13588697505312</v>
      </c>
    </row>
    <row r="2024">
      <c r="A2024" s="3">
        <v>43662.0</v>
      </c>
      <c r="B2024" s="6">
        <v>0.13588697505312</v>
      </c>
    </row>
    <row r="2025">
      <c r="A2025" s="3">
        <v>43663.0</v>
      </c>
      <c r="B2025" s="6">
        <v>0.13588697505312</v>
      </c>
    </row>
    <row r="2026">
      <c r="A2026" s="3">
        <v>43664.0</v>
      </c>
      <c r="B2026" s="6">
        <v>0.13588697505312</v>
      </c>
    </row>
    <row r="2027">
      <c r="A2027" s="3">
        <v>43665.0</v>
      </c>
      <c r="B2027" s="6">
        <v>0.13588697505312</v>
      </c>
    </row>
    <row r="2028">
      <c r="A2028" s="3">
        <v>43666.0</v>
      </c>
      <c r="B2028" s="6">
        <v>0.13588697505312</v>
      </c>
    </row>
    <row r="2029">
      <c r="A2029" s="3">
        <v>43667.0</v>
      </c>
      <c r="B2029" s="6">
        <v>0.13588697505312</v>
      </c>
    </row>
    <row r="2030">
      <c r="A2030" s="3">
        <v>43668.0</v>
      </c>
      <c r="B2030" s="6">
        <v>0.13588697505312</v>
      </c>
    </row>
    <row r="2031">
      <c r="A2031" s="3">
        <v>43669.0</v>
      </c>
      <c r="B2031" s="6">
        <v>0.13588697505312</v>
      </c>
    </row>
    <row r="2032">
      <c r="A2032" s="3">
        <v>43670.0</v>
      </c>
      <c r="B2032" s="6">
        <v>0.13588697505312</v>
      </c>
    </row>
    <row r="2033">
      <c r="A2033" s="3">
        <v>43671.0</v>
      </c>
      <c r="B2033" s="6">
        <v>0.13588697505312</v>
      </c>
    </row>
    <row r="2034">
      <c r="A2034" s="3">
        <v>43672.0</v>
      </c>
      <c r="B2034" s="6">
        <v>0.13588697505312</v>
      </c>
    </row>
    <row r="2035">
      <c r="A2035" s="3">
        <v>43673.0</v>
      </c>
      <c r="B2035" s="6">
        <v>0.13588697505312</v>
      </c>
    </row>
    <row r="2036">
      <c r="A2036" s="3">
        <v>43674.0</v>
      </c>
      <c r="B2036" s="6">
        <v>0.13588697505312</v>
      </c>
    </row>
    <row r="2037">
      <c r="A2037" s="3">
        <v>43675.0</v>
      </c>
      <c r="B2037" s="6">
        <v>0.13588697505312</v>
      </c>
    </row>
    <row r="2038">
      <c r="A2038" s="3">
        <v>43676.0</v>
      </c>
      <c r="B2038" s="6">
        <v>0.13588697505312</v>
      </c>
    </row>
    <row r="2039">
      <c r="A2039" s="3">
        <v>43677.0</v>
      </c>
      <c r="B2039" s="6">
        <v>0.13588697505312</v>
      </c>
    </row>
    <row r="2040">
      <c r="A2040" s="3">
        <v>43678.0</v>
      </c>
      <c r="B2040" s="6">
        <v>0.13588697505312</v>
      </c>
    </row>
    <row r="2041">
      <c r="A2041" s="3">
        <v>43679.0</v>
      </c>
      <c r="B2041" s="6">
        <v>0.13588697505312</v>
      </c>
    </row>
    <row r="2042">
      <c r="A2042" s="3">
        <v>43680.0</v>
      </c>
      <c r="B2042" s="6">
        <v>0.13588697505312</v>
      </c>
    </row>
    <row r="2043">
      <c r="A2043" s="3">
        <v>43681.0</v>
      </c>
      <c r="B2043" s="6">
        <v>0.13588697505312</v>
      </c>
    </row>
    <row r="2044">
      <c r="A2044" s="3">
        <v>43682.0</v>
      </c>
      <c r="B2044" s="6">
        <v>0.13588697505312</v>
      </c>
    </row>
    <row r="2045">
      <c r="A2045" s="3">
        <v>43683.0</v>
      </c>
      <c r="B2045" s="6">
        <v>0.13588697505312</v>
      </c>
    </row>
    <row r="2046">
      <c r="A2046" s="3">
        <v>43684.0</v>
      </c>
      <c r="B2046" s="6">
        <v>0.13588697505312</v>
      </c>
    </row>
    <row r="2047">
      <c r="A2047" s="3">
        <v>43685.0</v>
      </c>
      <c r="B2047" s="6">
        <v>0.13588697505312</v>
      </c>
    </row>
    <row r="2048">
      <c r="A2048" s="3">
        <v>43686.0</v>
      </c>
      <c r="B2048" s="6">
        <v>0.13588697505312</v>
      </c>
    </row>
    <row r="2049">
      <c r="A2049" s="3">
        <v>43687.0</v>
      </c>
      <c r="B2049" s="6">
        <v>0.13588697505312</v>
      </c>
    </row>
    <row r="2050">
      <c r="A2050" s="3">
        <v>43688.0</v>
      </c>
      <c r="B2050" s="6">
        <v>0.13588697505312</v>
      </c>
    </row>
    <row r="2051">
      <c r="A2051" s="3">
        <v>43689.0</v>
      </c>
      <c r="B2051" s="6">
        <v>0.13588697505312</v>
      </c>
    </row>
    <row r="2052">
      <c r="A2052" s="3">
        <v>43690.0</v>
      </c>
      <c r="B2052" s="6">
        <v>0.13588697505312</v>
      </c>
    </row>
    <row r="2053">
      <c r="A2053" s="3">
        <v>43691.0</v>
      </c>
      <c r="B2053" s="6">
        <v>0.13588697505312</v>
      </c>
    </row>
    <row r="2054">
      <c r="A2054" s="3">
        <v>43692.0</v>
      </c>
      <c r="B2054" s="6">
        <v>0.13588697505312</v>
      </c>
    </row>
    <row r="2055">
      <c r="A2055" s="3">
        <v>43693.0</v>
      </c>
      <c r="B2055" s="6">
        <v>0.13588697505312</v>
      </c>
    </row>
    <row r="2056">
      <c r="A2056" s="3">
        <v>43694.0</v>
      </c>
      <c r="B2056" s="6">
        <v>0.13588697505312</v>
      </c>
    </row>
    <row r="2057">
      <c r="A2057" s="3">
        <v>43695.0</v>
      </c>
      <c r="B2057" s="6">
        <v>0.13588697505312</v>
      </c>
    </row>
    <row r="2058">
      <c r="A2058" s="3">
        <v>43696.0</v>
      </c>
      <c r="B2058" s="6">
        <v>0.13588697505312</v>
      </c>
    </row>
    <row r="2059">
      <c r="A2059" s="3">
        <v>43697.0</v>
      </c>
      <c r="B2059" s="6">
        <v>0.13588697505312</v>
      </c>
    </row>
    <row r="2060">
      <c r="A2060" s="3">
        <v>43698.0</v>
      </c>
      <c r="B2060" s="6">
        <v>0.13588697505312</v>
      </c>
    </row>
    <row r="2061">
      <c r="A2061" s="3">
        <v>43699.0</v>
      </c>
      <c r="B2061" s="6">
        <v>0.13588697505312</v>
      </c>
    </row>
    <row r="2062">
      <c r="A2062" s="3">
        <v>43700.0</v>
      </c>
      <c r="B2062" s="6">
        <v>0.13588697505312</v>
      </c>
    </row>
    <row r="2063">
      <c r="A2063" s="3">
        <v>43701.0</v>
      </c>
      <c r="B2063" s="6">
        <v>0.13588697505312</v>
      </c>
    </row>
    <row r="2064">
      <c r="A2064" s="3">
        <v>43702.0</v>
      </c>
      <c r="B2064" s="6">
        <v>0.13588697505312</v>
      </c>
    </row>
    <row r="2065">
      <c r="A2065" s="3">
        <v>43703.0</v>
      </c>
      <c r="B2065" s="6">
        <v>0.13588697505312</v>
      </c>
    </row>
    <row r="2066">
      <c r="A2066" s="3">
        <v>43704.0</v>
      </c>
      <c r="B2066" s="6">
        <v>0.13588697505312</v>
      </c>
    </row>
    <row r="2067">
      <c r="A2067" s="3">
        <v>43705.0</v>
      </c>
      <c r="B2067" s="6">
        <v>0.13588697505312</v>
      </c>
    </row>
    <row r="2068">
      <c r="A2068" s="3">
        <v>43706.0</v>
      </c>
      <c r="B2068" s="6">
        <v>0.13588697505312</v>
      </c>
    </row>
    <row r="2069">
      <c r="A2069" s="3">
        <v>43707.0</v>
      </c>
      <c r="B2069" s="6">
        <v>0.13588697505312</v>
      </c>
    </row>
    <row r="2070">
      <c r="A2070" s="3">
        <v>43708.0</v>
      </c>
      <c r="B2070" s="6">
        <v>0.13588697505312</v>
      </c>
    </row>
    <row r="2071">
      <c r="A2071" s="3">
        <v>43709.0</v>
      </c>
      <c r="B2071" s="6">
        <v>0.13588697505312</v>
      </c>
    </row>
    <row r="2072">
      <c r="A2072" s="3">
        <v>43710.0</v>
      </c>
      <c r="B2072" s="6">
        <v>0.13588697505312</v>
      </c>
    </row>
    <row r="2073">
      <c r="A2073" s="3">
        <v>43711.0</v>
      </c>
      <c r="B2073" s="6">
        <v>0.13588697505312</v>
      </c>
    </row>
    <row r="2074">
      <c r="A2074" s="3">
        <v>43712.0</v>
      </c>
      <c r="B2074" s="6">
        <v>0.13588697505312</v>
      </c>
    </row>
    <row r="2075">
      <c r="A2075" s="3">
        <v>43713.0</v>
      </c>
      <c r="B2075" s="6">
        <v>0.13588697505312</v>
      </c>
    </row>
    <row r="2076">
      <c r="A2076" s="3">
        <v>43714.0</v>
      </c>
      <c r="B2076" s="6">
        <v>0.13588697505312</v>
      </c>
    </row>
    <row r="2077">
      <c r="A2077" s="3">
        <v>43715.0</v>
      </c>
      <c r="B2077" s="6">
        <v>0.13588697505312</v>
      </c>
    </row>
    <row r="2078">
      <c r="A2078" s="3">
        <v>43716.0</v>
      </c>
      <c r="B2078" s="6">
        <v>0.13588697505312</v>
      </c>
    </row>
    <row r="2079">
      <c r="A2079" s="3">
        <v>43717.0</v>
      </c>
      <c r="B2079" s="6">
        <v>0.13588697505312</v>
      </c>
    </row>
    <row r="2080">
      <c r="A2080" s="3">
        <v>43718.0</v>
      </c>
      <c r="B2080" s="6">
        <v>0.13588697505312</v>
      </c>
    </row>
    <row r="2081">
      <c r="A2081" s="3">
        <v>43719.0</v>
      </c>
      <c r="B2081" s="6">
        <v>0.13588697505312</v>
      </c>
    </row>
    <row r="2082">
      <c r="A2082" s="3">
        <v>43720.0</v>
      </c>
      <c r="B2082" s="6">
        <v>0.13588697505312</v>
      </c>
    </row>
    <row r="2083">
      <c r="A2083" s="3">
        <v>43721.0</v>
      </c>
      <c r="B2083" s="6">
        <v>0.13588697505312</v>
      </c>
    </row>
    <row r="2084">
      <c r="A2084" s="3">
        <v>43722.0</v>
      </c>
      <c r="B2084" s="6">
        <v>0.13588697505312</v>
      </c>
    </row>
    <row r="2085">
      <c r="A2085" s="3">
        <v>43723.0</v>
      </c>
      <c r="B2085" s="6">
        <v>0.13588697505312</v>
      </c>
    </row>
    <row r="2086">
      <c r="A2086" s="3">
        <v>43724.0</v>
      </c>
      <c r="B2086" s="6">
        <v>0.13588697505312</v>
      </c>
    </row>
    <row r="2087">
      <c r="A2087" s="3">
        <v>43725.0</v>
      </c>
      <c r="B2087" s="6">
        <v>0.13588697505312</v>
      </c>
    </row>
    <row r="2088">
      <c r="A2088" s="3">
        <v>43726.0</v>
      </c>
      <c r="B2088" s="6">
        <v>0.13588697505312</v>
      </c>
    </row>
    <row r="2089">
      <c r="A2089" s="3">
        <v>43727.0</v>
      </c>
      <c r="B2089" s="6">
        <v>0.13588697505312</v>
      </c>
    </row>
    <row r="2090">
      <c r="A2090" s="3">
        <v>43728.0</v>
      </c>
      <c r="B2090" s="6">
        <v>0.13588697505312</v>
      </c>
    </row>
    <row r="2091">
      <c r="A2091" s="3">
        <v>43729.0</v>
      </c>
      <c r="B2091" s="6">
        <v>0.13588697505312</v>
      </c>
    </row>
    <row r="2092">
      <c r="A2092" s="3">
        <v>43730.0</v>
      </c>
      <c r="B2092" s="6">
        <v>0.13588697505312</v>
      </c>
    </row>
    <row r="2093">
      <c r="A2093" s="3">
        <v>43731.0</v>
      </c>
      <c r="B2093" s="6">
        <v>0.13588697505312</v>
      </c>
    </row>
    <row r="2094">
      <c r="A2094" s="3">
        <v>43732.0</v>
      </c>
      <c r="B2094" s="6">
        <v>0.13588697505312</v>
      </c>
    </row>
    <row r="2095">
      <c r="A2095" s="3">
        <v>43733.0</v>
      </c>
      <c r="B2095" s="6">
        <v>0.13588697505312</v>
      </c>
    </row>
    <row r="2096">
      <c r="A2096" s="3">
        <v>43734.0</v>
      </c>
      <c r="B2096" s="6">
        <v>0.13588697505312</v>
      </c>
    </row>
    <row r="2097">
      <c r="A2097" s="3">
        <v>43735.0</v>
      </c>
      <c r="B2097" s="6">
        <v>0.13588697505312</v>
      </c>
    </row>
    <row r="2098">
      <c r="A2098" s="3">
        <v>43736.0</v>
      </c>
      <c r="B2098" s="6">
        <v>0.13588697505312</v>
      </c>
    </row>
    <row r="2099">
      <c r="A2099" s="3">
        <v>43737.0</v>
      </c>
      <c r="B2099" s="6">
        <v>0.13588697505312</v>
      </c>
    </row>
    <row r="2100">
      <c r="A2100" s="3">
        <v>43738.0</v>
      </c>
      <c r="B2100" s="6">
        <v>0.13588697505312</v>
      </c>
    </row>
    <row r="2101">
      <c r="A2101" s="3">
        <v>43739.0</v>
      </c>
      <c r="B2101" s="6">
        <v>0.13588697505312</v>
      </c>
    </row>
    <row r="2102">
      <c r="A2102" s="3">
        <v>43740.0</v>
      </c>
      <c r="B2102" s="6">
        <v>0.13588697505312</v>
      </c>
    </row>
    <row r="2103">
      <c r="A2103" s="3">
        <v>43741.0</v>
      </c>
      <c r="B2103" s="6">
        <v>0.13588697505312</v>
      </c>
    </row>
    <row r="2104">
      <c r="A2104" s="3">
        <v>43742.0</v>
      </c>
      <c r="B2104" s="6">
        <v>0.13588697505312</v>
      </c>
    </row>
    <row r="2105">
      <c r="A2105" s="3">
        <v>43743.0</v>
      </c>
      <c r="B2105" s="6">
        <v>0.13588697505312</v>
      </c>
    </row>
    <row r="2106">
      <c r="A2106" s="3">
        <v>43744.0</v>
      </c>
      <c r="B2106" s="6">
        <v>0.13588697505312</v>
      </c>
    </row>
    <row r="2107">
      <c r="A2107" s="3">
        <v>43745.0</v>
      </c>
      <c r="B2107" s="6">
        <v>0.13588697505312</v>
      </c>
    </row>
    <row r="2108">
      <c r="A2108" s="3">
        <v>43746.0</v>
      </c>
      <c r="B2108" s="6">
        <v>0.13588697505312</v>
      </c>
    </row>
    <row r="2109">
      <c r="A2109" s="3">
        <v>43747.0</v>
      </c>
      <c r="B2109" s="6">
        <v>0.13588697505312</v>
      </c>
    </row>
    <row r="2110">
      <c r="A2110" s="3">
        <v>43748.0</v>
      </c>
      <c r="B2110" s="6">
        <v>0.13588697505312</v>
      </c>
    </row>
    <row r="2111">
      <c r="A2111" s="3">
        <v>43749.0</v>
      </c>
      <c r="B2111" s="6">
        <v>0.13588697505312</v>
      </c>
    </row>
    <row r="2112">
      <c r="A2112" s="3">
        <v>43750.0</v>
      </c>
      <c r="B2112" s="6">
        <v>0.13588697505312</v>
      </c>
    </row>
    <row r="2113">
      <c r="A2113" s="3">
        <v>43751.0</v>
      </c>
      <c r="B2113" s="6">
        <v>0.13588697505312</v>
      </c>
    </row>
    <row r="2114">
      <c r="A2114" s="3">
        <v>43752.0</v>
      </c>
      <c r="B2114" s="6">
        <v>0.13588697505312</v>
      </c>
    </row>
    <row r="2115">
      <c r="A2115" s="3">
        <v>43753.0</v>
      </c>
      <c r="B2115" s="6">
        <v>0.13588697505312</v>
      </c>
    </row>
    <row r="2116">
      <c r="A2116" s="3">
        <v>43754.0</v>
      </c>
      <c r="B2116" s="6">
        <v>0.13588697505312</v>
      </c>
    </row>
    <row r="2117">
      <c r="A2117" s="3">
        <v>43755.0</v>
      </c>
      <c r="B2117" s="6">
        <v>0.13588697505312</v>
      </c>
    </row>
    <row r="2118">
      <c r="A2118" s="3">
        <v>43756.0</v>
      </c>
      <c r="B2118" s="6">
        <v>0.13588697505312</v>
      </c>
    </row>
    <row r="2119">
      <c r="A2119" s="3">
        <v>43757.0</v>
      </c>
      <c r="B2119" s="6">
        <v>0.13588697505312</v>
      </c>
    </row>
    <row r="2120">
      <c r="A2120" s="3">
        <v>43758.0</v>
      </c>
      <c r="B2120" s="6">
        <v>0.13588697505312</v>
      </c>
    </row>
    <row r="2121">
      <c r="A2121" s="3">
        <v>43759.0</v>
      </c>
      <c r="B2121" s="6">
        <v>0.13588697505312</v>
      </c>
    </row>
    <row r="2122">
      <c r="A2122" s="3">
        <v>43760.0</v>
      </c>
      <c r="B2122" s="6">
        <v>0.13588697505312</v>
      </c>
    </row>
    <row r="2123">
      <c r="A2123" s="3">
        <v>43761.0</v>
      </c>
      <c r="B2123" s="6">
        <v>0.13588697505312</v>
      </c>
    </row>
    <row r="2124">
      <c r="A2124" s="3">
        <v>43762.0</v>
      </c>
      <c r="B2124" s="6">
        <v>0.13588697505312</v>
      </c>
    </row>
    <row r="2125">
      <c r="A2125" s="3">
        <v>43763.0</v>
      </c>
      <c r="B2125" s="6">
        <v>0.13588697505312</v>
      </c>
    </row>
    <row r="2126">
      <c r="A2126" s="3">
        <v>43764.0</v>
      </c>
      <c r="B2126" s="6">
        <v>0.13588697505312</v>
      </c>
    </row>
    <row r="2127">
      <c r="A2127" s="3">
        <v>43765.0</v>
      </c>
      <c r="B2127" s="6">
        <v>0.13588697505312</v>
      </c>
    </row>
    <row r="2128">
      <c r="A2128" s="3">
        <v>43766.0</v>
      </c>
      <c r="B2128" s="6">
        <v>0.13588697505312</v>
      </c>
    </row>
    <row r="2129">
      <c r="A2129" s="3">
        <v>43767.0</v>
      </c>
      <c r="B2129" s="6">
        <v>0.13588697505312</v>
      </c>
    </row>
    <row r="2130">
      <c r="A2130" s="3">
        <v>43768.0</v>
      </c>
      <c r="B2130" s="6">
        <v>0.13588697505312</v>
      </c>
    </row>
    <row r="2131">
      <c r="A2131" s="3">
        <v>43769.0</v>
      </c>
      <c r="B2131" s="6">
        <v>0.13588697505312</v>
      </c>
    </row>
    <row r="2132">
      <c r="A2132" s="3">
        <v>43770.0</v>
      </c>
      <c r="B2132" s="6">
        <v>0.13588697505312</v>
      </c>
    </row>
    <row r="2133">
      <c r="A2133" s="3">
        <v>43771.0</v>
      </c>
      <c r="B2133" s="6">
        <v>0.13588697505312</v>
      </c>
    </row>
    <row r="2134">
      <c r="A2134" s="3">
        <v>43772.0</v>
      </c>
      <c r="B2134" s="6">
        <v>0.13588697505312</v>
      </c>
    </row>
    <row r="2135">
      <c r="A2135" s="3">
        <v>43773.0</v>
      </c>
      <c r="B2135" s="6">
        <v>0.13588697505312</v>
      </c>
    </row>
    <row r="2136">
      <c r="A2136" s="3">
        <v>43774.0</v>
      </c>
      <c r="B2136" s="6">
        <v>0.13588697505312</v>
      </c>
    </row>
    <row r="2137">
      <c r="A2137" s="3">
        <v>43775.0</v>
      </c>
      <c r="B2137" s="6">
        <v>0.13588697505312</v>
      </c>
    </row>
    <row r="2138">
      <c r="A2138" s="3">
        <v>43776.0</v>
      </c>
      <c r="B2138" s="6">
        <v>0.13588697505312</v>
      </c>
    </row>
    <row r="2139">
      <c r="A2139" s="3">
        <v>43777.0</v>
      </c>
      <c r="B2139" s="6">
        <v>0.13588697505312</v>
      </c>
    </row>
    <row r="2140">
      <c r="A2140" s="3">
        <v>43778.0</v>
      </c>
      <c r="B2140" s="6">
        <v>0.13588697505312</v>
      </c>
    </row>
    <row r="2141">
      <c r="A2141" s="3">
        <v>43779.0</v>
      </c>
      <c r="B2141" s="6">
        <v>0.13588697505312</v>
      </c>
    </row>
    <row r="2142">
      <c r="A2142" s="3">
        <v>43780.0</v>
      </c>
      <c r="B2142" s="6">
        <v>0.13588697505312</v>
      </c>
    </row>
    <row r="2143">
      <c r="A2143" s="3">
        <v>43781.0</v>
      </c>
      <c r="B2143" s="6">
        <v>0.13588697505312</v>
      </c>
    </row>
    <row r="2144">
      <c r="A2144" s="3">
        <v>43782.0</v>
      </c>
      <c r="B2144" s="6">
        <v>0.13588697505312</v>
      </c>
    </row>
    <row r="2145">
      <c r="A2145" s="3">
        <v>43783.0</v>
      </c>
      <c r="B2145" s="6">
        <v>0.13588697505312</v>
      </c>
    </row>
    <row r="2146">
      <c r="A2146" s="3">
        <v>43784.0</v>
      </c>
      <c r="B2146" s="6">
        <v>0.13588697505312</v>
      </c>
    </row>
    <row r="2147">
      <c r="A2147" s="3">
        <v>43785.0</v>
      </c>
      <c r="B2147" s="6">
        <v>0.13588697505312</v>
      </c>
    </row>
    <row r="2148">
      <c r="A2148" s="3">
        <v>43786.0</v>
      </c>
      <c r="B2148" s="6">
        <v>0.13588697505312</v>
      </c>
    </row>
    <row r="2149">
      <c r="A2149" s="3">
        <v>43787.0</v>
      </c>
      <c r="B2149" s="6">
        <v>0.13588697505312</v>
      </c>
    </row>
    <row r="2150">
      <c r="A2150" s="3">
        <v>43788.0</v>
      </c>
      <c r="B2150" s="6">
        <v>0.13588697505312</v>
      </c>
    </row>
    <row r="2151">
      <c r="A2151" s="3">
        <v>43789.0</v>
      </c>
      <c r="B2151" s="6">
        <v>0.13588697505312</v>
      </c>
    </row>
    <row r="2152">
      <c r="A2152" s="3">
        <v>43790.0</v>
      </c>
      <c r="B2152" s="6">
        <v>0.13588697505312</v>
      </c>
    </row>
    <row r="2153">
      <c r="A2153" s="3">
        <v>43791.0</v>
      </c>
      <c r="B2153" s="6">
        <v>0.13588697505312</v>
      </c>
    </row>
    <row r="2154">
      <c r="A2154" s="3">
        <v>43792.0</v>
      </c>
      <c r="B2154" s="6">
        <v>0.13588697505312</v>
      </c>
    </row>
    <row r="2155">
      <c r="A2155" s="3">
        <v>43793.0</v>
      </c>
      <c r="B2155" s="6">
        <v>0.13588697505312</v>
      </c>
    </row>
    <row r="2156">
      <c r="A2156" s="3">
        <v>43794.0</v>
      </c>
      <c r="B2156" s="6">
        <v>0.13588697505312</v>
      </c>
    </row>
    <row r="2157">
      <c r="A2157" s="3">
        <v>43795.0</v>
      </c>
      <c r="B2157" s="6">
        <v>0.13588697505312</v>
      </c>
    </row>
    <row r="2158">
      <c r="A2158" s="3">
        <v>43796.0</v>
      </c>
      <c r="B2158" s="6">
        <v>0.13588697505312</v>
      </c>
    </row>
    <row r="2159">
      <c r="A2159" s="3">
        <v>43797.0</v>
      </c>
      <c r="B2159" s="6">
        <v>0.13588697505312</v>
      </c>
    </row>
    <row r="2160">
      <c r="A2160" s="3">
        <v>43798.0</v>
      </c>
      <c r="B2160" s="6">
        <v>0.13588697505312</v>
      </c>
    </row>
    <row r="2161">
      <c r="A2161" s="3">
        <v>43799.0</v>
      </c>
      <c r="B2161" s="6">
        <v>0.13588697505312</v>
      </c>
    </row>
    <row r="2162">
      <c r="A2162" s="3">
        <v>43800.0</v>
      </c>
      <c r="B2162" s="6">
        <v>0.13588697505312</v>
      </c>
    </row>
    <row r="2163">
      <c r="A2163" s="3">
        <v>43801.0</v>
      </c>
      <c r="B2163" s="6">
        <v>0.13588697505312</v>
      </c>
    </row>
    <row r="2164">
      <c r="A2164" s="3">
        <v>43802.0</v>
      </c>
      <c r="B2164" s="6">
        <v>0.13588697505312</v>
      </c>
    </row>
    <row r="2165">
      <c r="A2165" s="3">
        <v>43803.0</v>
      </c>
      <c r="B2165" s="6">
        <v>0.13588697505312</v>
      </c>
    </row>
    <row r="2166">
      <c r="A2166" s="3">
        <v>43804.0</v>
      </c>
      <c r="B2166" s="6">
        <v>0.13588697505312</v>
      </c>
    </row>
    <row r="2167">
      <c r="A2167" s="3">
        <v>43805.0</v>
      </c>
      <c r="B2167" s="6">
        <v>0.13588697505312</v>
      </c>
    </row>
    <row r="2168">
      <c r="A2168" s="3">
        <v>43806.0</v>
      </c>
      <c r="B2168" s="6">
        <v>0.13588697505312</v>
      </c>
    </row>
    <row r="2169">
      <c r="A2169" s="3">
        <v>43807.0</v>
      </c>
      <c r="B2169" s="6">
        <v>0.13588697505312</v>
      </c>
    </row>
    <row r="2170">
      <c r="A2170" s="3">
        <v>43808.0</v>
      </c>
      <c r="B2170" s="6">
        <v>0.13588697505312</v>
      </c>
    </row>
    <row r="2171">
      <c r="A2171" s="3">
        <v>43809.0</v>
      </c>
      <c r="B2171" s="6">
        <v>0.13588697505312</v>
      </c>
    </row>
    <row r="2172">
      <c r="A2172" s="3">
        <v>43810.0</v>
      </c>
      <c r="B2172" s="6">
        <v>0.13588697505312</v>
      </c>
    </row>
    <row r="2173">
      <c r="A2173" s="3">
        <v>43811.0</v>
      </c>
      <c r="B2173" s="6">
        <v>0.13588697505312</v>
      </c>
    </row>
    <row r="2174">
      <c r="A2174" s="3">
        <v>43812.0</v>
      </c>
      <c r="B2174" s="6">
        <v>0.13588697505312</v>
      </c>
    </row>
    <row r="2175">
      <c r="A2175" s="3">
        <v>43813.0</v>
      </c>
      <c r="B2175" s="6">
        <v>0.13588697505312</v>
      </c>
    </row>
    <row r="2176">
      <c r="A2176" s="3">
        <v>43814.0</v>
      </c>
      <c r="B2176" s="6">
        <v>0.13588697505312</v>
      </c>
    </row>
    <row r="2177">
      <c r="A2177" s="3">
        <v>43815.0</v>
      </c>
      <c r="B2177" s="6">
        <v>0.13588697505312</v>
      </c>
    </row>
    <row r="2178">
      <c r="A2178" s="3">
        <v>43816.0</v>
      </c>
      <c r="B2178" s="6">
        <v>0.13588697505312</v>
      </c>
    </row>
    <row r="2179">
      <c r="A2179" s="3">
        <v>43817.0</v>
      </c>
      <c r="B2179" s="6">
        <v>0.13588697505312</v>
      </c>
    </row>
    <row r="2180">
      <c r="A2180" s="3">
        <v>43818.0</v>
      </c>
      <c r="B2180" s="6">
        <v>0.13588697505312</v>
      </c>
    </row>
    <row r="2181">
      <c r="A2181" s="3">
        <v>43819.0</v>
      </c>
      <c r="B2181" s="6">
        <v>0.13588697505312</v>
      </c>
    </row>
    <row r="2182">
      <c r="A2182" s="3">
        <v>43820.0</v>
      </c>
      <c r="B2182" s="6">
        <v>0.13588697505312</v>
      </c>
    </row>
    <row r="2183">
      <c r="A2183" s="3">
        <v>43821.0</v>
      </c>
      <c r="B2183" s="6">
        <v>0.13588697505312</v>
      </c>
    </row>
    <row r="2184">
      <c r="A2184" s="3">
        <v>43822.0</v>
      </c>
      <c r="B2184" s="6">
        <v>0.13588697505312</v>
      </c>
    </row>
    <row r="2185">
      <c r="A2185" s="3">
        <v>43823.0</v>
      </c>
      <c r="B2185" s="6">
        <v>0.13588697505312</v>
      </c>
    </row>
    <row r="2186">
      <c r="A2186" s="3">
        <v>43824.0</v>
      </c>
      <c r="B2186" s="6">
        <v>0.13588697505312</v>
      </c>
    </row>
    <row r="2187">
      <c r="A2187" s="3">
        <v>43825.0</v>
      </c>
      <c r="B2187" s="6">
        <v>0.13588697505312</v>
      </c>
    </row>
    <row r="2188">
      <c r="A2188" s="3">
        <v>43826.0</v>
      </c>
      <c r="B2188" s="6">
        <v>0.13588697505312</v>
      </c>
    </row>
    <row r="2189">
      <c r="A2189" s="3">
        <v>43827.0</v>
      </c>
      <c r="B2189" s="6">
        <v>0.13588697505312</v>
      </c>
    </row>
    <row r="2190">
      <c r="A2190" s="3">
        <v>43828.0</v>
      </c>
      <c r="B2190" s="6">
        <v>0.13588697505312</v>
      </c>
    </row>
    <row r="2191">
      <c r="A2191" s="3">
        <v>43829.0</v>
      </c>
      <c r="B2191" s="6">
        <v>0.13588697505312</v>
      </c>
    </row>
    <row r="2192">
      <c r="A2192" s="3">
        <v>43830.0</v>
      </c>
      <c r="B2192" s="6">
        <v>0.13588697505312</v>
      </c>
    </row>
    <row r="2193">
      <c r="A2193" s="3">
        <v>43831.0</v>
      </c>
      <c r="B2193" s="6">
        <v>0.11752606375811746</v>
      </c>
    </row>
    <row r="2194">
      <c r="A2194" s="3">
        <v>43832.0</v>
      </c>
      <c r="B2194" s="6">
        <v>0.11752606375811746</v>
      </c>
    </row>
    <row r="2195">
      <c r="A2195" s="3">
        <v>43833.0</v>
      </c>
      <c r="B2195" s="6">
        <v>0.11752606375811746</v>
      </c>
    </row>
    <row r="2196">
      <c r="A2196" s="3">
        <v>43834.0</v>
      </c>
      <c r="B2196" s="6">
        <v>0.11752606375811746</v>
      </c>
    </row>
    <row r="2197">
      <c r="A2197" s="3">
        <v>43835.0</v>
      </c>
      <c r="B2197" s="6">
        <v>0.11752606375811746</v>
      </c>
    </row>
    <row r="2198">
      <c r="A2198" s="3">
        <v>43836.0</v>
      </c>
      <c r="B2198" s="6">
        <v>0.11752606375811746</v>
      </c>
    </row>
    <row r="2199">
      <c r="A2199" s="3">
        <v>43837.0</v>
      </c>
      <c r="B2199" s="6">
        <v>0.11752606375811746</v>
      </c>
    </row>
    <row r="2200">
      <c r="A2200" s="3">
        <v>43838.0</v>
      </c>
      <c r="B2200" s="6">
        <v>0.11752606375811746</v>
      </c>
    </row>
    <row r="2201">
      <c r="A2201" s="3">
        <v>43839.0</v>
      </c>
      <c r="B2201" s="6">
        <v>0.11752606375811746</v>
      </c>
    </row>
    <row r="2202">
      <c r="A2202" s="3">
        <v>43840.0</v>
      </c>
      <c r="B2202" s="6">
        <v>0.11752606375811746</v>
      </c>
    </row>
    <row r="2203">
      <c r="A2203" s="3">
        <v>43841.0</v>
      </c>
      <c r="B2203" s="6">
        <v>0.11752606375811746</v>
      </c>
    </row>
    <row r="2204">
      <c r="A2204" s="3">
        <v>43842.0</v>
      </c>
      <c r="B2204" s="6">
        <v>0.11752606375811746</v>
      </c>
    </row>
    <row r="2205">
      <c r="A2205" s="3">
        <v>43843.0</v>
      </c>
      <c r="B2205" s="6">
        <v>0.11752606375811746</v>
      </c>
    </row>
    <row r="2206">
      <c r="A2206" s="3">
        <v>43844.0</v>
      </c>
      <c r="B2206" s="6">
        <v>0.11752606375811746</v>
      </c>
    </row>
    <row r="2207">
      <c r="A2207" s="3">
        <v>43845.0</v>
      </c>
      <c r="B2207" s="6">
        <v>0.11752606375811746</v>
      </c>
    </row>
    <row r="2208">
      <c r="A2208" s="3">
        <v>43846.0</v>
      </c>
      <c r="B2208" s="6">
        <v>0.11752606375811746</v>
      </c>
    </row>
    <row r="2209">
      <c r="A2209" s="3">
        <v>43847.0</v>
      </c>
      <c r="B2209" s="6">
        <v>0.11752606375811746</v>
      </c>
    </row>
    <row r="2210">
      <c r="A2210" s="3">
        <v>43848.0</v>
      </c>
      <c r="B2210" s="6">
        <v>0.11752606375811746</v>
      </c>
    </row>
    <row r="2211">
      <c r="A2211" s="3">
        <v>43849.0</v>
      </c>
      <c r="B2211" s="6">
        <v>0.11752606375811746</v>
      </c>
    </row>
    <row r="2212">
      <c r="A2212" s="3">
        <v>43850.0</v>
      </c>
      <c r="B2212" s="6">
        <v>0.11752606375811746</v>
      </c>
    </row>
    <row r="2213">
      <c r="A2213" s="3">
        <v>43851.0</v>
      </c>
      <c r="B2213" s="6">
        <v>0.11752606375811746</v>
      </c>
    </row>
    <row r="2214">
      <c r="A2214" s="3">
        <v>43852.0</v>
      </c>
      <c r="B2214" s="6">
        <v>0.11752606375811746</v>
      </c>
    </row>
    <row r="2215">
      <c r="A2215" s="3">
        <v>43853.0</v>
      </c>
      <c r="B2215" s="6">
        <v>0.11752606375811746</v>
      </c>
    </row>
    <row r="2216">
      <c r="A2216" s="3">
        <v>43854.0</v>
      </c>
      <c r="B2216" s="6">
        <v>0.11752606375811746</v>
      </c>
    </row>
    <row r="2217">
      <c r="A2217" s="3">
        <v>43855.0</v>
      </c>
      <c r="B2217" s="6">
        <v>0.11752606375811746</v>
      </c>
    </row>
    <row r="2218">
      <c r="A2218" s="3">
        <v>43856.0</v>
      </c>
      <c r="B2218" s="6">
        <v>0.11752606375811746</v>
      </c>
    </row>
    <row r="2219">
      <c r="A2219" s="3">
        <v>43857.0</v>
      </c>
      <c r="B2219" s="6">
        <v>0.11752606375811746</v>
      </c>
    </row>
    <row r="2220">
      <c r="A2220" s="3">
        <v>43858.0</v>
      </c>
      <c r="B2220" s="6">
        <v>0.11752606375811746</v>
      </c>
    </row>
    <row r="2221">
      <c r="A2221" s="3">
        <v>43859.0</v>
      </c>
      <c r="B2221" s="6">
        <v>0.11752606375811746</v>
      </c>
    </row>
    <row r="2222">
      <c r="A2222" s="3">
        <v>43860.0</v>
      </c>
      <c r="B2222" s="6">
        <v>0.11752606375811746</v>
      </c>
    </row>
    <row r="2223">
      <c r="A2223" s="3">
        <v>43861.0</v>
      </c>
      <c r="B2223" s="6">
        <v>0.11752606375811746</v>
      </c>
    </row>
    <row r="2224">
      <c r="A2224" s="3">
        <v>43862.0</v>
      </c>
      <c r="B2224" s="6">
        <v>0.11752606375811746</v>
      </c>
    </row>
    <row r="2225">
      <c r="A2225" s="3">
        <v>43863.0</v>
      </c>
      <c r="B2225" s="6">
        <v>0.11752606375811746</v>
      </c>
    </row>
    <row r="2226">
      <c r="A2226" s="3">
        <v>43864.0</v>
      </c>
      <c r="B2226" s="6">
        <v>0.11752606375811746</v>
      </c>
    </row>
    <row r="2227">
      <c r="A2227" s="3">
        <v>43865.0</v>
      </c>
      <c r="B2227" s="6">
        <v>0.11752606375811746</v>
      </c>
    </row>
    <row r="2228">
      <c r="A2228" s="3">
        <v>43866.0</v>
      </c>
      <c r="B2228" s="6">
        <v>0.11752606375811746</v>
      </c>
    </row>
    <row r="2229">
      <c r="A2229" s="3">
        <v>43867.0</v>
      </c>
      <c r="B2229" s="6">
        <v>0.11752606375811746</v>
      </c>
    </row>
    <row r="2230">
      <c r="A2230" s="3">
        <v>43868.0</v>
      </c>
      <c r="B2230" s="6">
        <v>0.11752606375811746</v>
      </c>
    </row>
    <row r="2231">
      <c r="A2231" s="3">
        <v>43869.0</v>
      </c>
      <c r="B2231" s="6">
        <v>0.11752606375811746</v>
      </c>
    </row>
    <row r="2232">
      <c r="A2232" s="3">
        <v>43870.0</v>
      </c>
      <c r="B2232" s="6">
        <v>0.11752606375811746</v>
      </c>
    </row>
    <row r="2233">
      <c r="A2233" s="3">
        <v>43871.0</v>
      </c>
      <c r="B2233" s="6">
        <v>0.11752606375811746</v>
      </c>
    </row>
    <row r="2234">
      <c r="A2234" s="3">
        <v>43872.0</v>
      </c>
      <c r="B2234" s="6">
        <v>0.11752606375811746</v>
      </c>
    </row>
    <row r="2235">
      <c r="A2235" s="3">
        <v>43873.0</v>
      </c>
      <c r="B2235" s="6">
        <v>0.11752606375811746</v>
      </c>
    </row>
    <row r="2236">
      <c r="A2236" s="3">
        <v>43874.0</v>
      </c>
      <c r="B2236" s="6">
        <v>0.11752606375811746</v>
      </c>
    </row>
    <row r="2237">
      <c r="A2237" s="3">
        <v>43875.0</v>
      </c>
      <c r="B2237" s="6">
        <v>0.11752606375811746</v>
      </c>
    </row>
    <row r="2238">
      <c r="A2238" s="3">
        <v>43876.0</v>
      </c>
      <c r="B2238" s="6">
        <v>0.11752606375811746</v>
      </c>
    </row>
    <row r="2239">
      <c r="A2239" s="3">
        <v>43877.0</v>
      </c>
      <c r="B2239" s="6">
        <v>0.11752606375811746</v>
      </c>
    </row>
    <row r="2240">
      <c r="A2240" s="3">
        <v>43878.0</v>
      </c>
      <c r="B2240" s="6">
        <v>0.11752606375811746</v>
      </c>
    </row>
    <row r="2241">
      <c r="A2241" s="3">
        <v>43879.0</v>
      </c>
      <c r="B2241" s="6">
        <v>0.11752606375811746</v>
      </c>
    </row>
    <row r="2242">
      <c r="A2242" s="3">
        <v>43880.0</v>
      </c>
      <c r="B2242" s="6">
        <v>0.11752606375811746</v>
      </c>
    </row>
    <row r="2243">
      <c r="A2243" s="3">
        <v>43881.0</v>
      </c>
      <c r="B2243" s="6">
        <v>0.11752606375811746</v>
      </c>
    </row>
    <row r="2244">
      <c r="A2244" s="3">
        <v>43882.0</v>
      </c>
      <c r="B2244" s="6">
        <v>0.11752606375811746</v>
      </c>
    </row>
    <row r="2245">
      <c r="A2245" s="3">
        <v>43883.0</v>
      </c>
      <c r="B2245" s="6">
        <v>0.11752606375811746</v>
      </c>
    </row>
    <row r="2246">
      <c r="A2246" s="3">
        <v>43884.0</v>
      </c>
      <c r="B2246" s="6">
        <v>0.11752606375811746</v>
      </c>
    </row>
    <row r="2247">
      <c r="A2247" s="3">
        <v>43885.0</v>
      </c>
      <c r="B2247" s="6">
        <v>0.11752606375811746</v>
      </c>
    </row>
    <row r="2248">
      <c r="A2248" s="3">
        <v>43886.0</v>
      </c>
      <c r="B2248" s="6">
        <v>0.11752606375811746</v>
      </c>
    </row>
    <row r="2249">
      <c r="A2249" s="3">
        <v>43887.0</v>
      </c>
      <c r="B2249" s="6">
        <v>0.11752606375811746</v>
      </c>
    </row>
    <row r="2250">
      <c r="A2250" s="3">
        <v>43888.0</v>
      </c>
      <c r="B2250" s="6">
        <v>0.11752606375811746</v>
      </c>
    </row>
    <row r="2251">
      <c r="A2251" s="3">
        <v>43889.0</v>
      </c>
      <c r="B2251" s="6">
        <v>0.11752606375811746</v>
      </c>
    </row>
    <row r="2252">
      <c r="A2252" s="3">
        <v>43890.0</v>
      </c>
      <c r="B2252" s="6">
        <v>0.11752606375811746</v>
      </c>
    </row>
    <row r="2253">
      <c r="A2253" s="3">
        <v>43891.0</v>
      </c>
      <c r="B2253" s="6">
        <v>0.11752606375811746</v>
      </c>
    </row>
    <row r="2254">
      <c r="A2254" s="3">
        <v>43892.0</v>
      </c>
      <c r="B2254" s="6">
        <v>0.11752606375811746</v>
      </c>
    </row>
    <row r="2255">
      <c r="A2255" s="3">
        <v>43893.0</v>
      </c>
      <c r="B2255" s="6">
        <v>0.11752606375811746</v>
      </c>
    </row>
    <row r="2256">
      <c r="A2256" s="3">
        <v>43894.0</v>
      </c>
      <c r="B2256" s="6">
        <v>0.11752606375811746</v>
      </c>
    </row>
    <row r="2257">
      <c r="A2257" s="3">
        <v>43895.0</v>
      </c>
      <c r="B2257" s="6">
        <v>0.11752606375811746</v>
      </c>
    </row>
    <row r="2258">
      <c r="A2258" s="3">
        <v>43896.0</v>
      </c>
      <c r="B2258" s="6">
        <v>0.11752606375811746</v>
      </c>
    </row>
    <row r="2259">
      <c r="A2259" s="3">
        <v>43897.0</v>
      </c>
      <c r="B2259" s="6">
        <v>0.11752606375811746</v>
      </c>
    </row>
    <row r="2260">
      <c r="A2260" s="3">
        <v>43898.0</v>
      </c>
      <c r="B2260" s="6">
        <v>0.11752606375811746</v>
      </c>
    </row>
    <row r="2261">
      <c r="A2261" s="3">
        <v>43899.0</v>
      </c>
      <c r="B2261" s="6">
        <v>0.11752606375811746</v>
      </c>
    </row>
    <row r="2262">
      <c r="A2262" s="3">
        <v>43900.0</v>
      </c>
      <c r="B2262" s="6">
        <v>0.11752606375811746</v>
      </c>
    </row>
    <row r="2263">
      <c r="A2263" s="3">
        <v>43901.0</v>
      </c>
      <c r="B2263" s="6">
        <v>0.11752606375811746</v>
      </c>
    </row>
    <row r="2264">
      <c r="A2264" s="3">
        <v>43902.0</v>
      </c>
      <c r="B2264" s="6">
        <v>0.11752606375811746</v>
      </c>
    </row>
    <row r="2265">
      <c r="A2265" s="3">
        <v>43903.0</v>
      </c>
      <c r="B2265" s="6">
        <v>0.11752606375811746</v>
      </c>
    </row>
    <row r="2266">
      <c r="A2266" s="3">
        <v>43904.0</v>
      </c>
      <c r="B2266" s="6">
        <v>0.11752606375811746</v>
      </c>
    </row>
    <row r="2267">
      <c r="A2267" s="3">
        <v>43905.0</v>
      </c>
      <c r="B2267" s="6">
        <v>0.11752606375811746</v>
      </c>
    </row>
    <row r="2268">
      <c r="A2268" s="3">
        <v>43906.0</v>
      </c>
      <c r="B2268" s="6">
        <v>0.11752606375811746</v>
      </c>
    </row>
    <row r="2269">
      <c r="A2269" s="3">
        <v>43907.0</v>
      </c>
      <c r="B2269" s="6">
        <v>0.11752606375811746</v>
      </c>
    </row>
    <row r="2270">
      <c r="A2270" s="3">
        <v>43908.0</v>
      </c>
      <c r="B2270" s="6">
        <v>0.11752606375811746</v>
      </c>
    </row>
    <row r="2271">
      <c r="A2271" s="3">
        <v>43909.0</v>
      </c>
      <c r="B2271" s="6">
        <v>0.11752606375811746</v>
      </c>
    </row>
    <row r="2272">
      <c r="A2272" s="3">
        <v>43910.0</v>
      </c>
      <c r="B2272" s="6">
        <v>0.11752606375811746</v>
      </c>
    </row>
    <row r="2273">
      <c r="A2273" s="3">
        <v>43911.0</v>
      </c>
      <c r="B2273" s="6">
        <v>0.11752606375811746</v>
      </c>
    </row>
    <row r="2274">
      <c r="A2274" s="3">
        <v>43912.0</v>
      </c>
      <c r="B2274" s="6">
        <v>0.11752606375811746</v>
      </c>
    </row>
    <row r="2275">
      <c r="A2275" s="3">
        <v>43913.0</v>
      </c>
      <c r="B2275" s="6">
        <v>0.11752606375811746</v>
      </c>
    </row>
    <row r="2276">
      <c r="A2276" s="3">
        <v>43914.0</v>
      </c>
      <c r="B2276" s="6">
        <v>0.11752606375811746</v>
      </c>
    </row>
    <row r="2277">
      <c r="A2277" s="3">
        <v>43915.0</v>
      </c>
      <c r="B2277" s="6">
        <v>0.11752606375811746</v>
      </c>
    </row>
    <row r="2278">
      <c r="A2278" s="3">
        <v>43916.0</v>
      </c>
      <c r="B2278" s="6">
        <v>0.11752606375811746</v>
      </c>
    </row>
    <row r="2279">
      <c r="A2279" s="3">
        <v>43917.0</v>
      </c>
      <c r="B2279" s="6">
        <v>0.11752606375811746</v>
      </c>
    </row>
    <row r="2280">
      <c r="A2280" s="3">
        <v>43918.0</v>
      </c>
      <c r="B2280" s="6">
        <v>0.11752606375811746</v>
      </c>
    </row>
    <row r="2281">
      <c r="A2281" s="3">
        <v>43919.0</v>
      </c>
      <c r="B2281" s="6">
        <v>0.11752606375811746</v>
      </c>
    </row>
    <row r="2282">
      <c r="A2282" s="3">
        <v>43920.0</v>
      </c>
      <c r="B2282" s="6">
        <v>0.11752606375811746</v>
      </c>
    </row>
    <row r="2283">
      <c r="A2283" s="3">
        <v>43921.0</v>
      </c>
      <c r="B2283" s="6">
        <v>0.11752606375811746</v>
      </c>
    </row>
    <row r="2284">
      <c r="A2284" s="3">
        <v>43922.0</v>
      </c>
      <c r="B2284" s="6">
        <v>0.11752606375811746</v>
      </c>
    </row>
    <row r="2285">
      <c r="A2285" s="3">
        <v>43923.0</v>
      </c>
      <c r="B2285" s="6">
        <v>0.11752606375811746</v>
      </c>
    </row>
    <row r="2286">
      <c r="A2286" s="3">
        <v>43924.0</v>
      </c>
      <c r="B2286" s="6">
        <v>0.11752606375811746</v>
      </c>
    </row>
    <row r="2287">
      <c r="A2287" s="3">
        <v>43925.0</v>
      </c>
      <c r="B2287" s="6">
        <v>0.11752606375811746</v>
      </c>
    </row>
    <row r="2288">
      <c r="A2288" s="3">
        <v>43926.0</v>
      </c>
      <c r="B2288" s="6">
        <v>0.11752606375811746</v>
      </c>
    </row>
    <row r="2289">
      <c r="A2289" s="3">
        <v>43927.0</v>
      </c>
      <c r="B2289" s="6">
        <v>0.11752606375811746</v>
      </c>
    </row>
    <row r="2290">
      <c r="A2290" s="3">
        <v>43928.0</v>
      </c>
      <c r="B2290" s="6">
        <v>0.11752606375811746</v>
      </c>
    </row>
    <row r="2291">
      <c r="A2291" s="3">
        <v>43929.0</v>
      </c>
      <c r="B2291" s="6">
        <v>0.11752606375811746</v>
      </c>
    </row>
    <row r="2292">
      <c r="A2292" s="3">
        <v>43930.0</v>
      </c>
      <c r="B2292" s="6">
        <v>0.11752606375811746</v>
      </c>
    </row>
    <row r="2293">
      <c r="A2293" s="3">
        <v>43931.0</v>
      </c>
      <c r="B2293" s="6">
        <v>0.11752606375811746</v>
      </c>
    </row>
    <row r="2294">
      <c r="A2294" s="3">
        <v>43932.0</v>
      </c>
      <c r="B2294" s="6">
        <v>0.11752606375811746</v>
      </c>
    </row>
    <row r="2295">
      <c r="A2295" s="3">
        <v>43933.0</v>
      </c>
      <c r="B2295" s="6">
        <v>0.11752606375811746</v>
      </c>
    </row>
    <row r="2296">
      <c r="A2296" s="3">
        <v>43934.0</v>
      </c>
      <c r="B2296" s="6">
        <v>0.11752606375811746</v>
      </c>
    </row>
    <row r="2297">
      <c r="A2297" s="3">
        <v>43935.0</v>
      </c>
      <c r="B2297" s="6">
        <v>0.11752606375811746</v>
      </c>
    </row>
    <row r="2298">
      <c r="A2298" s="3">
        <v>43936.0</v>
      </c>
      <c r="B2298" s="6">
        <v>0.11752606375811746</v>
      </c>
    </row>
    <row r="2299">
      <c r="A2299" s="3">
        <v>43937.0</v>
      </c>
      <c r="B2299" s="6">
        <v>0.11752606375811746</v>
      </c>
    </row>
    <row r="2300">
      <c r="A2300" s="3">
        <v>43938.0</v>
      </c>
      <c r="B2300" s="6">
        <v>0.11752606375811746</v>
      </c>
    </row>
    <row r="2301">
      <c r="A2301" s="3">
        <v>43939.0</v>
      </c>
      <c r="B2301" s="6">
        <v>0.11752606375811746</v>
      </c>
    </row>
    <row r="2302">
      <c r="A2302" s="3">
        <v>43940.0</v>
      </c>
      <c r="B2302" s="6">
        <v>0.11752606375811746</v>
      </c>
    </row>
    <row r="2303">
      <c r="A2303" s="3">
        <v>43941.0</v>
      </c>
      <c r="B2303" s="6">
        <v>0.11752606375811746</v>
      </c>
    </row>
    <row r="2304">
      <c r="A2304" s="3">
        <v>43942.0</v>
      </c>
      <c r="B2304" s="6">
        <v>0.11752606375811746</v>
      </c>
    </row>
    <row r="2305">
      <c r="A2305" s="3">
        <v>43943.0</v>
      </c>
      <c r="B2305" s="6">
        <v>0.11752606375811746</v>
      </c>
    </row>
    <row r="2306">
      <c r="A2306" s="3">
        <v>43944.0</v>
      </c>
      <c r="B2306" s="6">
        <v>0.11752606375811746</v>
      </c>
    </row>
    <row r="2307">
      <c r="A2307" s="3">
        <v>43945.0</v>
      </c>
      <c r="B2307" s="6">
        <v>0.11752606375811746</v>
      </c>
    </row>
    <row r="2308">
      <c r="A2308" s="3">
        <v>43946.0</v>
      </c>
      <c r="B2308" s="6">
        <v>0.11752606375811746</v>
      </c>
    </row>
    <row r="2309">
      <c r="A2309" s="3">
        <v>43947.0</v>
      </c>
      <c r="B2309" s="6">
        <v>0.11752606375811746</v>
      </c>
    </row>
    <row r="2310">
      <c r="A2310" s="3">
        <v>43948.0</v>
      </c>
      <c r="B2310" s="6">
        <v>0.11752606375811746</v>
      </c>
    </row>
    <row r="2311">
      <c r="A2311" s="3">
        <v>43949.0</v>
      </c>
      <c r="B2311" s="6">
        <v>0.11752606375811746</v>
      </c>
    </row>
    <row r="2312">
      <c r="A2312" s="3">
        <v>43950.0</v>
      </c>
      <c r="B2312" s="6">
        <v>0.11752606375811746</v>
      </c>
    </row>
    <row r="2313">
      <c r="A2313" s="3">
        <v>43951.0</v>
      </c>
      <c r="B2313" s="6">
        <v>0.11752606375811746</v>
      </c>
    </row>
    <row r="2314">
      <c r="A2314" s="3">
        <v>43952.0</v>
      </c>
      <c r="B2314" s="6">
        <v>0.11752606375811746</v>
      </c>
    </row>
    <row r="2315">
      <c r="A2315" s="3">
        <v>43953.0</v>
      </c>
      <c r="B2315" s="6">
        <v>0.11752606375811746</v>
      </c>
    </row>
    <row r="2316">
      <c r="A2316" s="3">
        <v>43954.0</v>
      </c>
      <c r="B2316" s="6">
        <v>0.11752606375811746</v>
      </c>
    </row>
    <row r="2317">
      <c r="A2317" s="3">
        <v>43955.0</v>
      </c>
      <c r="B2317" s="6">
        <v>0.11752606375811746</v>
      </c>
    </row>
    <row r="2318">
      <c r="A2318" s="3">
        <v>43956.0</v>
      </c>
      <c r="B2318" s="6">
        <v>0.11752606375811746</v>
      </c>
    </row>
    <row r="2319">
      <c r="A2319" s="3">
        <v>43957.0</v>
      </c>
      <c r="B2319" s="6">
        <v>0.11752606375811746</v>
      </c>
    </row>
    <row r="2320">
      <c r="A2320" s="3">
        <v>43958.0</v>
      </c>
      <c r="B2320" s="6">
        <v>0.11752606375811746</v>
      </c>
    </row>
    <row r="2321">
      <c r="A2321" s="3">
        <v>43959.0</v>
      </c>
      <c r="B2321" s="6">
        <v>0.11752606375811746</v>
      </c>
    </row>
    <row r="2322">
      <c r="A2322" s="3">
        <v>43960.0</v>
      </c>
      <c r="B2322" s="6">
        <v>0.11752606375811746</v>
      </c>
    </row>
    <row r="2323">
      <c r="A2323" s="3">
        <v>43961.0</v>
      </c>
      <c r="B2323" s="6">
        <v>0.11752606375811746</v>
      </c>
    </row>
    <row r="2324">
      <c r="A2324" s="3">
        <v>43962.0</v>
      </c>
      <c r="B2324" s="6">
        <v>0.11752606375811746</v>
      </c>
    </row>
    <row r="2325">
      <c r="A2325" s="3">
        <v>43963.0</v>
      </c>
      <c r="B2325" s="6">
        <v>0.11752606375811746</v>
      </c>
    </row>
    <row r="2326">
      <c r="A2326" s="3">
        <v>43964.0</v>
      </c>
      <c r="B2326" s="6">
        <v>0.11752606375811746</v>
      </c>
    </row>
    <row r="2327">
      <c r="A2327" s="3">
        <v>43965.0</v>
      </c>
      <c r="B2327" s="6">
        <v>0.11752606375811746</v>
      </c>
    </row>
    <row r="2328">
      <c r="A2328" s="3">
        <v>43966.0</v>
      </c>
      <c r="B2328" s="6">
        <v>0.11752606375811746</v>
      </c>
    </row>
    <row r="2329">
      <c r="A2329" s="3">
        <v>43967.0</v>
      </c>
      <c r="B2329" s="6">
        <v>0.11752606375811746</v>
      </c>
    </row>
    <row r="2330">
      <c r="A2330" s="3">
        <v>43968.0</v>
      </c>
      <c r="B2330" s="6">
        <v>0.11752606375811746</v>
      </c>
    </row>
    <row r="2331">
      <c r="A2331" s="3">
        <v>43969.0</v>
      </c>
      <c r="B2331" s="6">
        <v>0.11752606375811746</v>
      </c>
    </row>
    <row r="2332">
      <c r="A2332" s="3">
        <v>43970.0</v>
      </c>
      <c r="B2332" s="6">
        <v>0.11752606375811746</v>
      </c>
    </row>
    <row r="2333">
      <c r="A2333" s="3">
        <v>43971.0</v>
      </c>
      <c r="B2333" s="6">
        <v>0.11752606375811746</v>
      </c>
    </row>
    <row r="2334">
      <c r="A2334" s="3">
        <v>43972.0</v>
      </c>
      <c r="B2334" s="6">
        <v>0.11752606375811746</v>
      </c>
    </row>
    <row r="2335">
      <c r="A2335" s="3">
        <v>43973.0</v>
      </c>
      <c r="B2335" s="6">
        <v>0.11752606375811746</v>
      </c>
    </row>
    <row r="2336">
      <c r="A2336" s="3">
        <v>43974.0</v>
      </c>
      <c r="B2336" s="6">
        <v>0.11752606375811746</v>
      </c>
    </row>
    <row r="2337">
      <c r="A2337" s="3">
        <v>43975.0</v>
      </c>
      <c r="B2337" s="6">
        <v>0.11752606375811746</v>
      </c>
    </row>
    <row r="2338">
      <c r="A2338" s="3">
        <v>43976.0</v>
      </c>
      <c r="B2338" s="6">
        <v>0.11752606375811746</v>
      </c>
    </row>
    <row r="2339">
      <c r="A2339" s="3">
        <v>43977.0</v>
      </c>
      <c r="B2339" s="6">
        <v>0.11752606375811746</v>
      </c>
    </row>
    <row r="2340">
      <c r="A2340" s="3">
        <v>43978.0</v>
      </c>
      <c r="B2340" s="6">
        <v>0.11752606375811746</v>
      </c>
    </row>
    <row r="2341">
      <c r="A2341" s="3">
        <v>43979.0</v>
      </c>
      <c r="B2341" s="6">
        <v>0.11752606375811746</v>
      </c>
    </row>
    <row r="2342">
      <c r="A2342" s="3">
        <v>43980.0</v>
      </c>
      <c r="B2342" s="6">
        <v>0.11752606375811746</v>
      </c>
    </row>
    <row r="2343">
      <c r="A2343" s="3">
        <v>43981.0</v>
      </c>
      <c r="B2343" s="6">
        <v>0.11752606375811746</v>
      </c>
    </row>
    <row r="2344">
      <c r="A2344" s="3">
        <v>43982.0</v>
      </c>
      <c r="B2344" s="6">
        <v>0.11752606375811746</v>
      </c>
    </row>
    <row r="2345">
      <c r="A2345" s="3">
        <v>43983.0</v>
      </c>
      <c r="B2345" s="6">
        <v>0.11752606375811746</v>
      </c>
    </row>
    <row r="2346">
      <c r="A2346" s="3">
        <v>43984.0</v>
      </c>
      <c r="B2346" s="6">
        <v>0.11752606375811746</v>
      </c>
    </row>
    <row r="2347">
      <c r="A2347" s="3">
        <v>43985.0</v>
      </c>
      <c r="B2347" s="6">
        <v>0.11752606375811746</v>
      </c>
    </row>
    <row r="2348">
      <c r="A2348" s="3">
        <v>43986.0</v>
      </c>
      <c r="B2348" s="6">
        <v>0.11752606375811746</v>
      </c>
    </row>
    <row r="2349">
      <c r="A2349" s="3">
        <v>43987.0</v>
      </c>
      <c r="B2349" s="6">
        <v>0.11752606375811746</v>
      </c>
    </row>
    <row r="2350">
      <c r="A2350" s="3">
        <v>43988.0</v>
      </c>
      <c r="B2350" s="6">
        <v>0.11752606375811746</v>
      </c>
    </row>
    <row r="2351">
      <c r="A2351" s="3">
        <v>43989.0</v>
      </c>
      <c r="B2351" s="6">
        <v>0.11752606375811746</v>
      </c>
    </row>
    <row r="2352">
      <c r="A2352" s="3">
        <v>43990.0</v>
      </c>
      <c r="B2352" s="6">
        <v>0.11752606375811746</v>
      </c>
    </row>
    <row r="2353">
      <c r="A2353" s="3">
        <v>43991.0</v>
      </c>
      <c r="B2353" s="6">
        <v>0.11752606375811746</v>
      </c>
    </row>
    <row r="2354">
      <c r="A2354" s="3">
        <v>43992.0</v>
      </c>
      <c r="B2354" s="6">
        <v>0.11752606375811746</v>
      </c>
    </row>
    <row r="2355">
      <c r="A2355" s="3">
        <v>43993.0</v>
      </c>
      <c r="B2355" s="6">
        <v>0.11752606375811746</v>
      </c>
    </row>
    <row r="2356">
      <c r="A2356" s="3">
        <v>43994.0</v>
      </c>
      <c r="B2356" s="6">
        <v>0.11752606375811746</v>
      </c>
    </row>
    <row r="2357">
      <c r="A2357" s="3">
        <v>43995.0</v>
      </c>
      <c r="B2357" s="6">
        <v>0.11752606375811746</v>
      </c>
    </row>
    <row r="2358">
      <c r="A2358" s="3">
        <v>43996.0</v>
      </c>
      <c r="B2358" s="6">
        <v>0.11752606375811746</v>
      </c>
    </row>
    <row r="2359">
      <c r="A2359" s="3">
        <v>43997.0</v>
      </c>
      <c r="B2359" s="6">
        <v>0.11752606375811746</v>
      </c>
    </row>
    <row r="2360">
      <c r="A2360" s="3">
        <v>43998.0</v>
      </c>
      <c r="B2360" s="6">
        <v>0.11752606375811746</v>
      </c>
    </row>
    <row r="2361">
      <c r="A2361" s="3">
        <v>43999.0</v>
      </c>
      <c r="B2361" s="6">
        <v>0.11752606375811746</v>
      </c>
    </row>
    <row r="2362">
      <c r="A2362" s="3">
        <v>44000.0</v>
      </c>
      <c r="B2362" s="6">
        <v>0.11752606375811746</v>
      </c>
    </row>
    <row r="2363">
      <c r="A2363" s="3">
        <v>44001.0</v>
      </c>
      <c r="B2363" s="6">
        <v>0.11752606375811746</v>
      </c>
    </row>
    <row r="2364">
      <c r="A2364" s="3">
        <v>44002.0</v>
      </c>
      <c r="B2364" s="6">
        <v>0.11752606375811746</v>
      </c>
    </row>
    <row r="2365">
      <c r="A2365" s="3">
        <v>44003.0</v>
      </c>
      <c r="B2365" s="6">
        <v>0.11752606375811746</v>
      </c>
    </row>
    <row r="2366">
      <c r="A2366" s="3">
        <v>44004.0</v>
      </c>
      <c r="B2366" s="6">
        <v>0.11752606375811746</v>
      </c>
    </row>
    <row r="2367">
      <c r="A2367" s="3">
        <v>44005.0</v>
      </c>
      <c r="B2367" s="6">
        <v>0.11752606375811746</v>
      </c>
    </row>
    <row r="2368">
      <c r="A2368" s="3">
        <v>44006.0</v>
      </c>
      <c r="B2368" s="6">
        <v>0.11752606375811746</v>
      </c>
    </row>
    <row r="2369">
      <c r="A2369" s="3">
        <v>44007.0</v>
      </c>
      <c r="B2369" s="6">
        <v>0.11752606375811746</v>
      </c>
    </row>
    <row r="2370">
      <c r="A2370" s="3">
        <v>44008.0</v>
      </c>
      <c r="B2370" s="6">
        <v>0.11752606375811746</v>
      </c>
    </row>
    <row r="2371">
      <c r="A2371" s="3">
        <v>44009.0</v>
      </c>
      <c r="B2371" s="6">
        <v>0.11752606375811746</v>
      </c>
    </row>
    <row r="2372">
      <c r="A2372" s="3">
        <v>44010.0</v>
      </c>
      <c r="B2372" s="6">
        <v>0.11752606375811746</v>
      </c>
    </row>
    <row r="2373">
      <c r="A2373" s="3">
        <v>44011.0</v>
      </c>
      <c r="B2373" s="6">
        <v>0.11752606375811746</v>
      </c>
    </row>
    <row r="2374">
      <c r="A2374" s="3">
        <v>44012.0</v>
      </c>
      <c r="B2374" s="6">
        <v>0.11752606375811746</v>
      </c>
    </row>
    <row r="2375">
      <c r="A2375" s="3">
        <v>44013.0</v>
      </c>
      <c r="B2375" s="6">
        <v>0.12292829272269258</v>
      </c>
    </row>
    <row r="2376">
      <c r="A2376" s="3">
        <v>44014.0</v>
      </c>
      <c r="B2376" s="6">
        <v>0.12292829272269258</v>
      </c>
    </row>
    <row r="2377">
      <c r="A2377" s="3">
        <v>44015.0</v>
      </c>
      <c r="B2377" s="6">
        <v>0.12292829272269258</v>
      </c>
    </row>
    <row r="2378">
      <c r="A2378" s="3">
        <v>44016.0</v>
      </c>
      <c r="B2378" s="6">
        <v>0.12292829272269258</v>
      </c>
    </row>
    <row r="2379">
      <c r="A2379" s="3">
        <v>44017.0</v>
      </c>
      <c r="B2379" s="6">
        <v>0.12292829272269258</v>
      </c>
    </row>
    <row r="2380">
      <c r="A2380" s="3">
        <v>44018.0</v>
      </c>
      <c r="B2380" s="6">
        <v>0.12292829272269258</v>
      </c>
    </row>
    <row r="2381">
      <c r="A2381" s="3">
        <v>44019.0</v>
      </c>
      <c r="B2381" s="6">
        <v>0.12292829272269258</v>
      </c>
    </row>
    <row r="2382">
      <c r="A2382" s="3">
        <v>44020.0</v>
      </c>
      <c r="B2382" s="6">
        <v>0.12292829272269258</v>
      </c>
    </row>
    <row r="2383">
      <c r="A2383" s="3">
        <v>44021.0</v>
      </c>
      <c r="B2383" s="6">
        <v>0.12292829272269258</v>
      </c>
    </row>
    <row r="2384">
      <c r="A2384" s="3">
        <v>44022.0</v>
      </c>
      <c r="B2384" s="6">
        <v>0.12292829272269258</v>
      </c>
    </row>
    <row r="2385">
      <c r="A2385" s="3">
        <v>44023.0</v>
      </c>
      <c r="B2385" s="6">
        <v>0.12292829272269258</v>
      </c>
    </row>
    <row r="2386">
      <c r="A2386" s="3">
        <v>44024.0</v>
      </c>
      <c r="B2386" s="6">
        <v>0.12292829272269258</v>
      </c>
    </row>
    <row r="2387">
      <c r="A2387" s="3">
        <v>44025.0</v>
      </c>
      <c r="B2387" s="6">
        <v>0.12292829272269258</v>
      </c>
    </row>
    <row r="2388">
      <c r="A2388" s="3">
        <v>44026.0</v>
      </c>
      <c r="B2388" s="6">
        <v>0.12292829272269258</v>
      </c>
    </row>
    <row r="2389">
      <c r="A2389" s="3">
        <v>44027.0</v>
      </c>
      <c r="B2389" s="6">
        <v>0.12292829272269258</v>
      </c>
    </row>
    <row r="2390">
      <c r="A2390" s="3">
        <v>44028.0</v>
      </c>
      <c r="B2390" s="6">
        <v>0.12292829272269258</v>
      </c>
    </row>
    <row r="2391">
      <c r="A2391" s="3">
        <v>44029.0</v>
      </c>
      <c r="B2391" s="6">
        <v>0.12292829272269258</v>
      </c>
    </row>
    <row r="2392">
      <c r="A2392" s="3">
        <v>44030.0</v>
      </c>
      <c r="B2392" s="6">
        <v>0.12292829272269258</v>
      </c>
    </row>
    <row r="2393">
      <c r="A2393" s="3">
        <v>44031.0</v>
      </c>
      <c r="B2393" s="6">
        <v>0.12292829272269258</v>
      </c>
    </row>
    <row r="2394">
      <c r="A2394" s="3">
        <v>44032.0</v>
      </c>
      <c r="B2394" s="6">
        <v>0.12292829272269258</v>
      </c>
    </row>
    <row r="2395">
      <c r="A2395" s="3">
        <v>44033.0</v>
      </c>
      <c r="B2395" s="6">
        <v>0.12292829272269258</v>
      </c>
    </row>
    <row r="2396">
      <c r="A2396" s="3">
        <v>44034.0</v>
      </c>
      <c r="B2396" s="6">
        <v>0.12292829272269258</v>
      </c>
    </row>
    <row r="2397">
      <c r="A2397" s="3">
        <v>44035.0</v>
      </c>
      <c r="B2397" s="6">
        <v>0.12292829272269258</v>
      </c>
    </row>
    <row r="2398">
      <c r="A2398" s="3">
        <v>44036.0</v>
      </c>
      <c r="B2398" s="6">
        <v>0.12292829272269258</v>
      </c>
    </row>
    <row r="2399">
      <c r="A2399" s="3">
        <v>44037.0</v>
      </c>
      <c r="B2399" s="6">
        <v>0.12292829272269258</v>
      </c>
    </row>
    <row r="2400">
      <c r="A2400" s="3">
        <v>44038.0</v>
      </c>
      <c r="B2400" s="6">
        <v>0.12292829272269258</v>
      </c>
    </row>
    <row r="2401">
      <c r="A2401" s="3">
        <v>44039.0</v>
      </c>
      <c r="B2401" s="6">
        <v>0.12292829272269258</v>
      </c>
    </row>
    <row r="2402">
      <c r="A2402" s="3">
        <v>44040.0</v>
      </c>
      <c r="B2402" s="6">
        <v>0.12292829272269258</v>
      </c>
    </row>
    <row r="2403">
      <c r="A2403" s="3">
        <v>44041.0</v>
      </c>
      <c r="B2403" s="6">
        <v>0.12292829272269258</v>
      </c>
    </row>
    <row r="2404">
      <c r="A2404" s="3">
        <v>44042.0</v>
      </c>
      <c r="B2404" s="6">
        <v>0.12292829272269258</v>
      </c>
    </row>
    <row r="2405">
      <c r="A2405" s="3">
        <v>44043.0</v>
      </c>
      <c r="B2405" s="6">
        <v>0.12292829272269258</v>
      </c>
    </row>
    <row r="2406">
      <c r="A2406" s="3">
        <v>44044.0</v>
      </c>
      <c r="B2406" s="6">
        <v>0.12292829272269258</v>
      </c>
    </row>
    <row r="2407">
      <c r="A2407" s="3">
        <v>44045.0</v>
      </c>
      <c r="B2407" s="6">
        <v>0.12292829272269258</v>
      </c>
    </row>
    <row r="2408">
      <c r="A2408" s="3">
        <v>44046.0</v>
      </c>
      <c r="B2408" s="6">
        <v>0.12292829272269258</v>
      </c>
    </row>
    <row r="2409">
      <c r="A2409" s="3">
        <v>44047.0</v>
      </c>
      <c r="B2409" s="6">
        <v>0.12292829272269258</v>
      </c>
    </row>
    <row r="2410">
      <c r="A2410" s="3">
        <v>44048.0</v>
      </c>
      <c r="B2410" s="6">
        <v>0.12292829272269258</v>
      </c>
    </row>
    <row r="2411">
      <c r="A2411" s="3">
        <v>44049.0</v>
      </c>
      <c r="B2411" s="6">
        <v>0.12292829272269258</v>
      </c>
    </row>
    <row r="2412">
      <c r="A2412" s="3">
        <v>44050.0</v>
      </c>
      <c r="B2412" s="6">
        <v>0.12292829272269258</v>
      </c>
    </row>
    <row r="2413">
      <c r="A2413" s="3">
        <v>44051.0</v>
      </c>
      <c r="B2413" s="6">
        <v>0.12292829272269258</v>
      </c>
    </row>
    <row r="2414">
      <c r="A2414" s="3">
        <v>44052.0</v>
      </c>
      <c r="B2414" s="6">
        <v>0.12292829272269258</v>
      </c>
    </row>
    <row r="2415">
      <c r="A2415" s="3">
        <v>44053.0</v>
      </c>
      <c r="B2415" s="6">
        <v>0.12292829272269258</v>
      </c>
    </row>
    <row r="2416">
      <c r="A2416" s="3">
        <v>44054.0</v>
      </c>
      <c r="B2416" s="6">
        <v>0.12292829272269258</v>
      </c>
    </row>
    <row r="2417">
      <c r="A2417" s="3">
        <v>44055.0</v>
      </c>
      <c r="B2417" s="6">
        <v>0.12292829272269258</v>
      </c>
    </row>
    <row r="2418">
      <c r="A2418" s="3">
        <v>44056.0</v>
      </c>
      <c r="B2418" s="6">
        <v>0.12292829272269258</v>
      </c>
    </row>
    <row r="2419">
      <c r="A2419" s="3">
        <v>44057.0</v>
      </c>
      <c r="B2419" s="6">
        <v>0.12292829272269258</v>
      </c>
    </row>
    <row r="2420">
      <c r="A2420" s="3">
        <v>44058.0</v>
      </c>
      <c r="B2420" s="6">
        <v>0.12292829272269258</v>
      </c>
    </row>
    <row r="2421">
      <c r="A2421" s="3">
        <v>44059.0</v>
      </c>
      <c r="B2421" s="6">
        <v>0.12292829272269258</v>
      </c>
    </row>
    <row r="2422">
      <c r="A2422" s="3">
        <v>44060.0</v>
      </c>
      <c r="B2422" s="6">
        <v>0.12292829272269258</v>
      </c>
    </row>
    <row r="2423">
      <c r="A2423" s="3">
        <v>44061.0</v>
      </c>
      <c r="B2423" s="6">
        <v>0.12292829272269258</v>
      </c>
    </row>
    <row r="2424">
      <c r="A2424" s="3">
        <v>44062.0</v>
      </c>
      <c r="B2424" s="6">
        <v>0.12292829272269258</v>
      </c>
    </row>
    <row r="2425">
      <c r="A2425" s="3">
        <v>44063.0</v>
      </c>
      <c r="B2425" s="6">
        <v>0.12292829272269258</v>
      </c>
    </row>
    <row r="2426">
      <c r="A2426" s="3">
        <v>44064.0</v>
      </c>
      <c r="B2426" s="6">
        <v>0.12292829272269258</v>
      </c>
    </row>
    <row r="2427">
      <c r="A2427" s="3">
        <v>44065.0</v>
      </c>
      <c r="B2427" s="6">
        <v>0.12292829272269258</v>
      </c>
    </row>
    <row r="2428">
      <c r="A2428" s="3">
        <v>44066.0</v>
      </c>
      <c r="B2428" s="6">
        <v>0.12292829272269258</v>
      </c>
    </row>
    <row r="2429">
      <c r="A2429" s="3">
        <v>44067.0</v>
      </c>
      <c r="B2429" s="6">
        <v>0.12292829272269258</v>
      </c>
    </row>
    <row r="2430">
      <c r="A2430" s="3">
        <v>44068.0</v>
      </c>
      <c r="B2430" s="6">
        <v>0.12292829272269258</v>
      </c>
    </row>
    <row r="2431">
      <c r="A2431" s="3">
        <v>44069.0</v>
      </c>
      <c r="B2431" s="6">
        <v>0.12292829272269258</v>
      </c>
    </row>
    <row r="2432">
      <c r="A2432" s="3">
        <v>44070.0</v>
      </c>
      <c r="B2432" s="6">
        <v>0.12292829272269258</v>
      </c>
    </row>
    <row r="2433">
      <c r="A2433" s="3">
        <v>44071.0</v>
      </c>
      <c r="B2433" s="6">
        <v>0.12292829272269258</v>
      </c>
    </row>
    <row r="2434">
      <c r="A2434" s="3">
        <v>44072.0</v>
      </c>
      <c r="B2434" s="6">
        <v>0.12292829272269258</v>
      </c>
    </row>
    <row r="2435">
      <c r="A2435" s="3">
        <v>44073.0</v>
      </c>
      <c r="B2435" s="6">
        <v>0.12292829272269258</v>
      </c>
    </row>
    <row r="2436">
      <c r="A2436" s="3">
        <v>44074.0</v>
      </c>
      <c r="B2436" s="6">
        <v>0.12292829272269258</v>
      </c>
    </row>
    <row r="2437">
      <c r="A2437" s="3">
        <v>44075.0</v>
      </c>
      <c r="B2437" s="6">
        <v>0.12292829272269258</v>
      </c>
    </row>
    <row r="2438">
      <c r="A2438" s="3">
        <v>44076.0</v>
      </c>
      <c r="B2438" s="6">
        <v>0.12292829272269258</v>
      </c>
    </row>
    <row r="2439">
      <c r="A2439" s="3">
        <v>44077.0</v>
      </c>
      <c r="B2439" s="6">
        <v>0.12292829272269258</v>
      </c>
    </row>
    <row r="2440">
      <c r="A2440" s="3">
        <v>44078.0</v>
      </c>
      <c r="B2440" s="6">
        <v>0.12292829272269258</v>
      </c>
    </row>
    <row r="2441">
      <c r="A2441" s="3">
        <v>44079.0</v>
      </c>
      <c r="B2441" s="6">
        <v>0.12292829272269258</v>
      </c>
    </row>
    <row r="2442">
      <c r="A2442" s="3">
        <v>44080.0</v>
      </c>
      <c r="B2442" s="6">
        <v>0.12292829272269258</v>
      </c>
    </row>
    <row r="2443">
      <c r="A2443" s="3">
        <v>44081.0</v>
      </c>
      <c r="B2443" s="6">
        <v>0.12292829272269258</v>
      </c>
    </row>
    <row r="2444">
      <c r="A2444" s="3">
        <v>44082.0</v>
      </c>
      <c r="B2444" s="6">
        <v>0.12292829272269258</v>
      </c>
    </row>
    <row r="2445">
      <c r="A2445" s="3">
        <v>44083.0</v>
      </c>
      <c r="B2445" s="6">
        <v>0.12292829272269258</v>
      </c>
    </row>
    <row r="2446">
      <c r="A2446" s="3">
        <v>44084.0</v>
      </c>
      <c r="B2446" s="6">
        <v>0.12292829272269258</v>
      </c>
    </row>
    <row r="2447">
      <c r="A2447" s="3">
        <v>44085.0</v>
      </c>
      <c r="B2447" s="6">
        <v>0.12292829272269258</v>
      </c>
    </row>
    <row r="2448">
      <c r="A2448" s="3">
        <v>44086.0</v>
      </c>
      <c r="B2448" s="6">
        <v>0.12292829272269258</v>
      </c>
    </row>
    <row r="2449">
      <c r="A2449" s="3">
        <v>44087.0</v>
      </c>
      <c r="B2449" s="6">
        <v>0.12292829272269258</v>
      </c>
    </row>
    <row r="2450">
      <c r="A2450" s="3">
        <v>44088.0</v>
      </c>
      <c r="B2450" s="6">
        <v>0.12292829272269258</v>
      </c>
    </row>
    <row r="2451">
      <c r="A2451" s="3">
        <v>44089.0</v>
      </c>
      <c r="B2451" s="6">
        <v>0.12292829272269258</v>
      </c>
    </row>
    <row r="2452">
      <c r="A2452" s="3">
        <v>44090.0</v>
      </c>
      <c r="B2452" s="6">
        <v>0.12292829272269258</v>
      </c>
    </row>
    <row r="2453">
      <c r="A2453" s="3">
        <v>44091.0</v>
      </c>
      <c r="B2453" s="6">
        <v>0.12292829272269258</v>
      </c>
    </row>
    <row r="2454">
      <c r="A2454" s="3">
        <v>44092.0</v>
      </c>
      <c r="B2454" s="6">
        <v>0.12292829272269258</v>
      </c>
    </row>
    <row r="2455">
      <c r="A2455" s="3">
        <v>44093.0</v>
      </c>
      <c r="B2455" s="6">
        <v>0.12292829272269258</v>
      </c>
    </row>
    <row r="2456">
      <c r="A2456" s="3">
        <v>44094.0</v>
      </c>
      <c r="B2456" s="6">
        <v>0.12292829272269258</v>
      </c>
    </row>
    <row r="2457">
      <c r="A2457" s="3">
        <v>44095.0</v>
      </c>
      <c r="B2457" s="6">
        <v>0.12292829272269258</v>
      </c>
    </row>
    <row r="2458">
      <c r="A2458" s="3">
        <v>44096.0</v>
      </c>
      <c r="B2458" s="6">
        <v>0.12292829272269258</v>
      </c>
    </row>
    <row r="2459">
      <c r="A2459" s="3">
        <v>44097.0</v>
      </c>
      <c r="B2459" s="6">
        <v>0.12292829272269258</v>
      </c>
    </row>
    <row r="2460">
      <c r="A2460" s="3">
        <v>44098.0</v>
      </c>
      <c r="B2460" s="6">
        <v>0.12292829272269258</v>
      </c>
    </row>
    <row r="2461">
      <c r="A2461" s="3">
        <v>44099.0</v>
      </c>
      <c r="B2461" s="6">
        <v>0.12292829272269258</v>
      </c>
    </row>
    <row r="2462">
      <c r="A2462" s="3">
        <v>44100.0</v>
      </c>
      <c r="B2462" s="6">
        <v>0.12292829272269258</v>
      </c>
    </row>
    <row r="2463">
      <c r="A2463" s="3">
        <v>44101.0</v>
      </c>
      <c r="B2463" s="6">
        <v>0.12292829272269258</v>
      </c>
    </row>
    <row r="2464">
      <c r="A2464" s="3">
        <v>44102.0</v>
      </c>
      <c r="B2464" s="6">
        <v>0.12292829272269258</v>
      </c>
    </row>
    <row r="2465">
      <c r="A2465" s="3">
        <v>44103.0</v>
      </c>
      <c r="B2465" s="6">
        <v>0.12292829272269258</v>
      </c>
    </row>
    <row r="2466">
      <c r="A2466" s="3">
        <v>44104.0</v>
      </c>
      <c r="B2466" s="6">
        <v>0.12292829272269258</v>
      </c>
    </row>
    <row r="2467">
      <c r="A2467" s="3">
        <v>44105.0</v>
      </c>
      <c r="B2467" s="6">
        <v>0.12292829272269258</v>
      </c>
    </row>
    <row r="2468">
      <c r="A2468" s="3">
        <v>44106.0</v>
      </c>
      <c r="B2468" s="6">
        <v>0.12292829272269258</v>
      </c>
    </row>
    <row r="2469">
      <c r="A2469" s="3">
        <v>44107.0</v>
      </c>
      <c r="B2469" s="6">
        <v>0.12292829272269258</v>
      </c>
    </row>
    <row r="2470">
      <c r="A2470" s="3">
        <v>44108.0</v>
      </c>
      <c r="B2470" s="6">
        <v>0.12292829272269258</v>
      </c>
    </row>
    <row r="2471">
      <c r="A2471" s="3">
        <v>44109.0</v>
      </c>
      <c r="B2471" s="6">
        <v>0.12292829272269258</v>
      </c>
    </row>
    <row r="2472">
      <c r="A2472" s="3">
        <v>44110.0</v>
      </c>
      <c r="B2472" s="6">
        <v>0.12292829272269258</v>
      </c>
    </row>
    <row r="2473">
      <c r="A2473" s="3">
        <v>44111.0</v>
      </c>
      <c r="B2473" s="6">
        <v>0.12292829272269258</v>
      </c>
    </row>
    <row r="2474">
      <c r="A2474" s="3">
        <v>44112.0</v>
      </c>
      <c r="B2474" s="6">
        <v>0.12292829272269258</v>
      </c>
    </row>
    <row r="2475">
      <c r="A2475" s="3">
        <v>44113.0</v>
      </c>
      <c r="B2475" s="6">
        <v>0.12292829272269258</v>
      </c>
    </row>
    <row r="2476">
      <c r="A2476" s="3">
        <v>44114.0</v>
      </c>
      <c r="B2476" s="6">
        <v>0.12292829272269258</v>
      </c>
    </row>
    <row r="2477">
      <c r="A2477" s="3">
        <v>44115.0</v>
      </c>
      <c r="B2477" s="6">
        <v>0.12292829272269258</v>
      </c>
    </row>
    <row r="2478">
      <c r="A2478" s="3">
        <v>44116.0</v>
      </c>
      <c r="B2478" s="6">
        <v>0.12292829272269258</v>
      </c>
    </row>
    <row r="2479">
      <c r="A2479" s="3">
        <v>44117.0</v>
      </c>
      <c r="B2479" s="6">
        <v>0.12292829272269258</v>
      </c>
    </row>
    <row r="2480">
      <c r="A2480" s="3">
        <v>44118.0</v>
      </c>
      <c r="B2480" s="6">
        <v>0.12292829272269258</v>
      </c>
    </row>
    <row r="2481">
      <c r="A2481" s="3">
        <v>44119.0</v>
      </c>
      <c r="B2481" s="6">
        <v>0.12292829272269258</v>
      </c>
    </row>
    <row r="2482">
      <c r="A2482" s="3">
        <v>44120.0</v>
      </c>
      <c r="B2482" s="6">
        <v>0.12292829272269258</v>
      </c>
    </row>
    <row r="2483">
      <c r="A2483" s="3">
        <v>44121.0</v>
      </c>
      <c r="B2483" s="6">
        <v>0.12292829272269258</v>
      </c>
    </row>
    <row r="2484">
      <c r="A2484" s="3">
        <v>44122.0</v>
      </c>
      <c r="B2484" s="6">
        <v>0.12292829272269258</v>
      </c>
    </row>
    <row r="2485">
      <c r="A2485" s="3">
        <v>44123.0</v>
      </c>
      <c r="B2485" s="6">
        <v>0.12292829272269258</v>
      </c>
    </row>
    <row r="2486">
      <c r="A2486" s="3">
        <v>44124.0</v>
      </c>
      <c r="B2486" s="6">
        <v>0.12292829272269258</v>
      </c>
    </row>
    <row r="2487">
      <c r="A2487" s="3">
        <v>44125.0</v>
      </c>
      <c r="B2487" s="6">
        <v>0.12292829272269258</v>
      </c>
    </row>
    <row r="2488">
      <c r="A2488" s="3">
        <v>44126.0</v>
      </c>
      <c r="B2488" s="6">
        <v>0.12292829272269258</v>
      </c>
    </row>
    <row r="2489">
      <c r="A2489" s="3">
        <v>44127.0</v>
      </c>
      <c r="B2489" s="6">
        <v>0.12292829272269258</v>
      </c>
    </row>
    <row r="2490">
      <c r="A2490" s="3">
        <v>44128.0</v>
      </c>
      <c r="B2490" s="6">
        <v>0.12292829272269258</v>
      </c>
    </row>
    <row r="2491">
      <c r="A2491" s="3">
        <v>44129.0</v>
      </c>
      <c r="B2491" s="6">
        <v>0.12292829272269258</v>
      </c>
    </row>
    <row r="2492">
      <c r="A2492" s="3">
        <v>44130.0</v>
      </c>
      <c r="B2492" s="6">
        <v>0.12292829272269258</v>
      </c>
    </row>
    <row r="2493">
      <c r="A2493" s="3">
        <v>44131.0</v>
      </c>
      <c r="B2493" s="6">
        <v>0.12292829272269258</v>
      </c>
    </row>
    <row r="2494">
      <c r="A2494" s="3">
        <v>44132.0</v>
      </c>
      <c r="B2494" s="6">
        <v>0.12292829272269258</v>
      </c>
    </row>
    <row r="2495">
      <c r="A2495" s="3">
        <v>44133.0</v>
      </c>
      <c r="B2495" s="6">
        <v>0.12292829272269258</v>
      </c>
    </row>
    <row r="2496">
      <c r="A2496" s="3">
        <v>44134.0</v>
      </c>
      <c r="B2496" s="6">
        <v>0.12292829272269258</v>
      </c>
    </row>
    <row r="2497">
      <c r="A2497" s="3">
        <v>44135.0</v>
      </c>
      <c r="B2497" s="6">
        <v>0.12292829272269258</v>
      </c>
    </row>
    <row r="2498">
      <c r="A2498" s="3">
        <v>44136.0</v>
      </c>
      <c r="B2498" s="6">
        <v>0.12292829272269258</v>
      </c>
    </row>
    <row r="2499">
      <c r="A2499" s="3">
        <v>44137.0</v>
      </c>
      <c r="B2499" s="6">
        <v>0.12292829272269258</v>
      </c>
    </row>
    <row r="2500">
      <c r="A2500" s="3">
        <v>44138.0</v>
      </c>
      <c r="B2500" s="6">
        <v>0.12292829272269258</v>
      </c>
    </row>
    <row r="2501">
      <c r="A2501" s="3">
        <v>44139.0</v>
      </c>
      <c r="B2501" s="6">
        <v>0.12292829272269258</v>
      </c>
    </row>
    <row r="2502">
      <c r="A2502" s="3">
        <v>44140.0</v>
      </c>
      <c r="B2502" s="6">
        <v>0.12292829272269258</v>
      </c>
    </row>
    <row r="2503">
      <c r="A2503" s="3">
        <v>44141.0</v>
      </c>
      <c r="B2503" s="6">
        <v>0.12292829272269258</v>
      </c>
    </row>
    <row r="2504">
      <c r="A2504" s="3">
        <v>44142.0</v>
      </c>
      <c r="B2504" s="6">
        <v>0.12292829272269258</v>
      </c>
    </row>
    <row r="2505">
      <c r="A2505" s="3">
        <v>44143.0</v>
      </c>
      <c r="B2505" s="6">
        <v>0.12292829272269258</v>
      </c>
    </row>
    <row r="2506">
      <c r="A2506" s="3">
        <v>44144.0</v>
      </c>
      <c r="B2506" s="6">
        <v>0.12292829272269258</v>
      </c>
    </row>
    <row r="2507">
      <c r="A2507" s="3">
        <v>44145.0</v>
      </c>
      <c r="B2507" s="6">
        <v>0.12292829272269258</v>
      </c>
    </row>
    <row r="2508">
      <c r="A2508" s="3">
        <v>44146.0</v>
      </c>
      <c r="B2508" s="6">
        <v>0.12292829272269258</v>
      </c>
    </row>
    <row r="2509">
      <c r="A2509" s="3">
        <v>44147.0</v>
      </c>
      <c r="B2509" s="6">
        <v>0.12292829272269258</v>
      </c>
    </row>
    <row r="2510">
      <c r="A2510" s="3">
        <v>44148.0</v>
      </c>
      <c r="B2510" s="6">
        <v>0.12292829272269258</v>
      </c>
    </row>
    <row r="2511">
      <c r="A2511" s="3">
        <v>44149.0</v>
      </c>
      <c r="B2511" s="6">
        <v>0.12292829272269258</v>
      </c>
    </row>
    <row r="2512">
      <c r="A2512" s="3">
        <v>44150.0</v>
      </c>
      <c r="B2512" s="6">
        <v>0.12292829272269258</v>
      </c>
    </row>
    <row r="2513">
      <c r="A2513" s="3">
        <v>44151.0</v>
      </c>
      <c r="B2513" s="6">
        <v>0.12292829272269258</v>
      </c>
    </row>
    <row r="2514">
      <c r="A2514" s="3">
        <v>44152.0</v>
      </c>
      <c r="B2514" s="6">
        <v>0.12292829272269258</v>
      </c>
    </row>
    <row r="2515">
      <c r="A2515" s="3">
        <v>44153.0</v>
      </c>
      <c r="B2515" s="6">
        <v>0.12292829272269258</v>
      </c>
    </row>
    <row r="2516">
      <c r="A2516" s="3">
        <v>44154.0</v>
      </c>
      <c r="B2516" s="6">
        <v>0.12292829272269258</v>
      </c>
    </row>
    <row r="2517">
      <c r="A2517" s="3">
        <v>44155.0</v>
      </c>
      <c r="B2517" s="6">
        <v>0.12292829272269258</v>
      </c>
    </row>
    <row r="2518">
      <c r="A2518" s="3">
        <v>44156.0</v>
      </c>
      <c r="B2518" s="6">
        <v>0.12292829272269258</v>
      </c>
    </row>
    <row r="2519">
      <c r="A2519" s="3">
        <v>44157.0</v>
      </c>
      <c r="B2519" s="6">
        <v>0.12292829272269258</v>
      </c>
    </row>
    <row r="2520">
      <c r="A2520" s="3">
        <v>44158.0</v>
      </c>
      <c r="B2520" s="6">
        <v>0.12292829272269258</v>
      </c>
    </row>
    <row r="2521">
      <c r="A2521" s="3">
        <v>44159.0</v>
      </c>
      <c r="B2521" s="6">
        <v>0.12292829272269258</v>
      </c>
    </row>
    <row r="2522">
      <c r="A2522" s="3">
        <v>44160.0</v>
      </c>
      <c r="B2522" s="6">
        <v>0.12292829272269258</v>
      </c>
    </row>
    <row r="2523">
      <c r="A2523" s="3">
        <v>44161.0</v>
      </c>
      <c r="B2523" s="6">
        <v>0.12292829272269258</v>
      </c>
    </row>
    <row r="2524">
      <c r="A2524" s="3">
        <v>44162.0</v>
      </c>
      <c r="B2524" s="6">
        <v>0.12292829272269258</v>
      </c>
    </row>
    <row r="2525">
      <c r="A2525" s="3">
        <v>44163.0</v>
      </c>
      <c r="B2525" s="6">
        <v>0.12292829272269258</v>
      </c>
    </row>
    <row r="2526">
      <c r="A2526" s="3">
        <v>44164.0</v>
      </c>
      <c r="B2526" s="6">
        <v>0.12292829272269258</v>
      </c>
    </row>
    <row r="2527">
      <c r="A2527" s="3">
        <v>44165.0</v>
      </c>
      <c r="B2527" s="6">
        <v>0.12292829272269258</v>
      </c>
    </row>
    <row r="2528">
      <c r="A2528" s="3">
        <v>44166.0</v>
      </c>
      <c r="B2528" s="6">
        <v>0.12292829272269258</v>
      </c>
    </row>
    <row r="2529">
      <c r="A2529" s="3">
        <v>44167.0</v>
      </c>
      <c r="B2529" s="6">
        <v>0.12292829272269258</v>
      </c>
    </row>
    <row r="2530">
      <c r="A2530" s="3">
        <v>44168.0</v>
      </c>
      <c r="B2530" s="6">
        <v>0.12292829272269258</v>
      </c>
    </row>
    <row r="2531">
      <c r="A2531" s="3">
        <v>44169.0</v>
      </c>
      <c r="B2531" s="6">
        <v>0.12292829272269258</v>
      </c>
    </row>
    <row r="2532">
      <c r="A2532" s="3">
        <v>44170.0</v>
      </c>
      <c r="B2532" s="6">
        <v>0.12292829272269258</v>
      </c>
    </row>
    <row r="2533">
      <c r="A2533" s="3">
        <v>44171.0</v>
      </c>
      <c r="B2533" s="6">
        <v>0.12292829272269258</v>
      </c>
    </row>
    <row r="2534">
      <c r="A2534" s="3">
        <v>44172.0</v>
      </c>
      <c r="B2534" s="6">
        <v>0.12292829272269258</v>
      </c>
    </row>
    <row r="2535">
      <c r="A2535" s="3">
        <v>44173.0</v>
      </c>
      <c r="B2535" s="6">
        <v>0.12292829272269258</v>
      </c>
    </row>
    <row r="2536">
      <c r="A2536" s="3">
        <v>44174.0</v>
      </c>
      <c r="B2536" s="6">
        <v>0.12292829272269258</v>
      </c>
    </row>
    <row r="2537">
      <c r="A2537" s="3">
        <v>44175.0</v>
      </c>
      <c r="B2537" s="6">
        <v>0.12292829272269258</v>
      </c>
    </row>
    <row r="2538">
      <c r="A2538" s="3">
        <v>44176.0</v>
      </c>
      <c r="B2538" s="6">
        <v>0.12292829272269258</v>
      </c>
    </row>
    <row r="2539">
      <c r="A2539" s="3">
        <v>44177.0</v>
      </c>
      <c r="B2539" s="6">
        <v>0.12292829272269258</v>
      </c>
    </row>
    <row r="2540">
      <c r="A2540" s="3">
        <v>44178.0</v>
      </c>
      <c r="B2540" s="6">
        <v>0.12292829272269258</v>
      </c>
    </row>
    <row r="2541">
      <c r="A2541" s="3">
        <v>44179.0</v>
      </c>
      <c r="B2541" s="6">
        <v>0.12292829272269258</v>
      </c>
    </row>
    <row r="2542">
      <c r="A2542" s="3">
        <v>44180.0</v>
      </c>
      <c r="B2542" s="6">
        <v>0.12292829272269258</v>
      </c>
    </row>
    <row r="2543">
      <c r="A2543" s="3">
        <v>44181.0</v>
      </c>
      <c r="B2543" s="6">
        <v>0.12292829272269258</v>
      </c>
    </row>
    <row r="2544">
      <c r="A2544" s="3">
        <v>44182.0</v>
      </c>
      <c r="B2544" s="6">
        <v>0.12292829272269258</v>
      </c>
    </row>
    <row r="2545">
      <c r="A2545" s="3">
        <v>44183.0</v>
      </c>
      <c r="B2545" s="6">
        <v>0.12292829272269258</v>
      </c>
    </row>
    <row r="2546">
      <c r="A2546" s="3">
        <v>44184.0</v>
      </c>
      <c r="B2546" s="6">
        <v>0.12292829272269258</v>
      </c>
    </row>
    <row r="2547">
      <c r="A2547" s="3">
        <v>44185.0</v>
      </c>
      <c r="B2547" s="6">
        <v>0.12292829272269258</v>
      </c>
    </row>
    <row r="2548">
      <c r="A2548" s="3">
        <v>44186.0</v>
      </c>
      <c r="B2548" s="6">
        <v>0.12292829272269258</v>
      </c>
    </row>
    <row r="2549">
      <c r="A2549" s="3">
        <v>44187.0</v>
      </c>
      <c r="B2549" s="6">
        <v>0.12292829272269258</v>
      </c>
    </row>
    <row r="2550">
      <c r="A2550" s="3">
        <v>44188.0</v>
      </c>
      <c r="B2550" s="6">
        <v>0.12292829272269258</v>
      </c>
    </row>
    <row r="2551">
      <c r="A2551" s="3">
        <v>44189.0</v>
      </c>
      <c r="B2551" s="6">
        <v>0.12292829272269258</v>
      </c>
    </row>
    <row r="2552">
      <c r="A2552" s="3">
        <v>44190.0</v>
      </c>
      <c r="B2552" s="6">
        <v>0.12292829272269258</v>
      </c>
    </row>
    <row r="2553">
      <c r="A2553" s="3">
        <v>44191.0</v>
      </c>
      <c r="B2553" s="6">
        <v>0.12292829272269258</v>
      </c>
    </row>
    <row r="2554">
      <c r="A2554" s="3">
        <v>44192.0</v>
      </c>
      <c r="B2554" s="6">
        <v>0.12292829272269258</v>
      </c>
    </row>
    <row r="2555">
      <c r="A2555" s="3">
        <v>44193.0</v>
      </c>
      <c r="B2555" s="6">
        <v>0.12292829272269258</v>
      </c>
    </row>
    <row r="2556">
      <c r="A2556" s="3">
        <v>44194.0</v>
      </c>
      <c r="B2556" s="6">
        <v>0.12292829272269258</v>
      </c>
    </row>
    <row r="2557">
      <c r="A2557" s="3">
        <v>44195.0</v>
      </c>
      <c r="B2557" s="6">
        <v>0.12292829272269258</v>
      </c>
    </row>
    <row r="2558">
      <c r="A2558" s="3">
        <v>44196.0</v>
      </c>
      <c r="B2558" s="6">
        <v>0.12292829272269258</v>
      </c>
    </row>
    <row r="2559">
      <c r="A2559" s="3">
        <v>44197.0</v>
      </c>
      <c r="B2559" s="6">
        <v>0.12726027461389508</v>
      </c>
    </row>
    <row r="2560">
      <c r="A2560" s="3">
        <v>44198.0</v>
      </c>
      <c r="B2560" s="6">
        <v>0.12726027461389508</v>
      </c>
    </row>
    <row r="2561">
      <c r="A2561" s="3">
        <v>44199.0</v>
      </c>
      <c r="B2561" s="6">
        <v>0.12726027461389508</v>
      </c>
    </row>
    <row r="2562">
      <c r="A2562" s="3">
        <v>44200.0</v>
      </c>
      <c r="B2562" s="6">
        <v>0.12726027461389508</v>
      </c>
    </row>
    <row r="2563">
      <c r="A2563" s="3">
        <v>44201.0</v>
      </c>
      <c r="B2563" s="6">
        <v>0.12726027461389508</v>
      </c>
    </row>
    <row r="2564">
      <c r="A2564" s="3">
        <v>44202.0</v>
      </c>
      <c r="B2564" s="6">
        <v>0.12726027461389508</v>
      </c>
    </row>
    <row r="2565">
      <c r="A2565" s="3">
        <v>44203.0</v>
      </c>
      <c r="B2565" s="6">
        <v>0.12726027461389508</v>
      </c>
    </row>
    <row r="2566">
      <c r="A2566" s="3">
        <v>44204.0</v>
      </c>
      <c r="B2566" s="6">
        <v>0.12726027461389508</v>
      </c>
    </row>
    <row r="2567">
      <c r="A2567" s="3">
        <v>44205.0</v>
      </c>
      <c r="B2567" s="6">
        <v>0.12726027461389508</v>
      </c>
    </row>
    <row r="2568">
      <c r="A2568" s="3">
        <v>44206.0</v>
      </c>
      <c r="B2568" s="6">
        <v>0.12726027461389508</v>
      </c>
    </row>
    <row r="2569">
      <c r="A2569" s="3">
        <v>44207.0</v>
      </c>
      <c r="B2569" s="6">
        <v>0.12726027461389508</v>
      </c>
    </row>
    <row r="2570">
      <c r="A2570" s="3">
        <v>44208.0</v>
      </c>
      <c r="B2570" s="6">
        <v>0.12726027461389508</v>
      </c>
    </row>
    <row r="2571">
      <c r="A2571" s="3">
        <v>44209.0</v>
      </c>
      <c r="B2571" s="6">
        <v>0.12726027461389508</v>
      </c>
    </row>
    <row r="2572">
      <c r="A2572" s="3">
        <v>44210.0</v>
      </c>
      <c r="B2572" s="6">
        <v>0.12726027461389508</v>
      </c>
    </row>
    <row r="2573">
      <c r="A2573" s="3">
        <v>44211.0</v>
      </c>
      <c r="B2573" s="6">
        <v>0.12726027461389508</v>
      </c>
    </row>
    <row r="2574">
      <c r="A2574" s="3">
        <v>44212.0</v>
      </c>
      <c r="B2574" s="6">
        <v>0.12726027461389508</v>
      </c>
    </row>
    <row r="2575">
      <c r="A2575" s="3">
        <v>44213.0</v>
      </c>
      <c r="B2575" s="6">
        <v>0.12726027461389508</v>
      </c>
    </row>
    <row r="2576">
      <c r="A2576" s="3">
        <v>44214.0</v>
      </c>
      <c r="B2576" s="6">
        <v>0.12726027461389508</v>
      </c>
    </row>
    <row r="2577">
      <c r="A2577" s="3">
        <v>44215.0</v>
      </c>
      <c r="B2577" s="6">
        <v>0.12726027461389508</v>
      </c>
    </row>
    <row r="2578">
      <c r="A2578" s="3">
        <v>44216.0</v>
      </c>
      <c r="B2578" s="6">
        <v>0.12726027461389508</v>
      </c>
    </row>
    <row r="2579">
      <c r="A2579" s="3">
        <v>44217.0</v>
      </c>
      <c r="B2579" s="6">
        <v>0.12726027461389508</v>
      </c>
    </row>
    <row r="2580">
      <c r="A2580" s="3">
        <v>44218.0</v>
      </c>
      <c r="B2580" s="6">
        <v>0.12726027461389508</v>
      </c>
    </row>
    <row r="2581">
      <c r="A2581" s="3">
        <v>44219.0</v>
      </c>
      <c r="B2581" s="6">
        <v>0.12726027461389508</v>
      </c>
    </row>
    <row r="2582">
      <c r="A2582" s="3">
        <v>44220.0</v>
      </c>
      <c r="B2582" s="6">
        <v>0.12726027461389508</v>
      </c>
    </row>
    <row r="2583">
      <c r="A2583" s="3">
        <v>44221.0</v>
      </c>
      <c r="B2583" s="6">
        <v>0.12726027461389508</v>
      </c>
    </row>
    <row r="2584">
      <c r="A2584" s="3">
        <v>44222.0</v>
      </c>
      <c r="B2584" s="6">
        <v>0.12726027461389508</v>
      </c>
    </row>
    <row r="2585">
      <c r="A2585" s="3">
        <v>44223.0</v>
      </c>
      <c r="B2585" s="6">
        <v>0.12726027461389508</v>
      </c>
    </row>
    <row r="2586">
      <c r="A2586" s="3">
        <v>44224.0</v>
      </c>
      <c r="B2586" s="6">
        <v>0.12726027461389508</v>
      </c>
    </row>
    <row r="2587">
      <c r="A2587" s="3">
        <v>44225.0</v>
      </c>
      <c r="B2587" s="6">
        <v>0.12726027461389508</v>
      </c>
    </row>
    <row r="2588">
      <c r="A2588" s="3">
        <v>44226.0</v>
      </c>
      <c r="B2588" s="6">
        <v>0.12726027461389508</v>
      </c>
    </row>
    <row r="2589">
      <c r="A2589" s="3">
        <v>44227.0</v>
      </c>
      <c r="B2589" s="6">
        <v>0.12726027461389508</v>
      </c>
    </row>
    <row r="2590">
      <c r="A2590" s="3">
        <v>44228.0</v>
      </c>
      <c r="B2590" s="6">
        <v>0.12726027461389508</v>
      </c>
    </row>
    <row r="2591">
      <c r="A2591" s="3">
        <v>44229.0</v>
      </c>
      <c r="B2591" s="6">
        <v>0.12726027461389508</v>
      </c>
    </row>
    <row r="2592">
      <c r="A2592" s="3">
        <v>44230.0</v>
      </c>
      <c r="B2592" s="6">
        <v>0.12726027461389508</v>
      </c>
    </row>
    <row r="2593">
      <c r="A2593" s="3">
        <v>44231.0</v>
      </c>
      <c r="B2593" s="6">
        <v>0.12726027461389508</v>
      </c>
    </row>
    <row r="2594">
      <c r="A2594" s="3">
        <v>44232.0</v>
      </c>
      <c r="B2594" s="6">
        <v>0.12726027461389508</v>
      </c>
    </row>
    <row r="2595">
      <c r="A2595" s="3">
        <v>44233.0</v>
      </c>
      <c r="B2595" s="6">
        <v>0.12726027461389508</v>
      </c>
    </row>
    <row r="2596">
      <c r="A2596" s="3">
        <v>44234.0</v>
      </c>
      <c r="B2596" s="6">
        <v>0.12726027461389508</v>
      </c>
    </row>
    <row r="2597">
      <c r="A2597" s="3">
        <v>44235.0</v>
      </c>
      <c r="B2597" s="6">
        <v>0.12726027461389508</v>
      </c>
    </row>
    <row r="2598">
      <c r="A2598" s="3">
        <v>44236.0</v>
      </c>
      <c r="B2598" s="6">
        <v>0.12726027461389508</v>
      </c>
    </row>
    <row r="2599">
      <c r="A2599" s="3">
        <v>44237.0</v>
      </c>
      <c r="B2599" s="6">
        <v>0.12726027461389508</v>
      </c>
    </row>
    <row r="2600">
      <c r="A2600" s="3">
        <v>44238.0</v>
      </c>
      <c r="B2600" s="6">
        <v>0.12726027461389508</v>
      </c>
    </row>
    <row r="2601">
      <c r="A2601" s="3">
        <v>44239.0</v>
      </c>
      <c r="B2601" s="6">
        <v>0.12726027461389508</v>
      </c>
    </row>
    <row r="2602">
      <c r="A2602" s="3">
        <v>44240.0</v>
      </c>
      <c r="B2602" s="6">
        <v>0.12726027461389508</v>
      </c>
    </row>
    <row r="2603">
      <c r="A2603" s="3">
        <v>44241.0</v>
      </c>
      <c r="B2603" s="6">
        <v>0.12726027461389508</v>
      </c>
    </row>
    <row r="2604">
      <c r="A2604" s="3">
        <v>44242.0</v>
      </c>
      <c r="B2604" s="6">
        <v>0.12726027461389508</v>
      </c>
    </row>
    <row r="2605">
      <c r="A2605" s="3">
        <v>44243.0</v>
      </c>
      <c r="B2605" s="6">
        <v>0.12726027461389508</v>
      </c>
    </row>
    <row r="2606">
      <c r="A2606" s="3">
        <v>44244.0</v>
      </c>
      <c r="B2606" s="6">
        <v>0.12726027461389508</v>
      </c>
    </row>
    <row r="2607">
      <c r="A2607" s="3">
        <v>44245.0</v>
      </c>
      <c r="B2607" s="6">
        <v>0.12726027461389508</v>
      </c>
    </row>
    <row r="2608">
      <c r="A2608" s="3">
        <v>44246.0</v>
      </c>
      <c r="B2608" s="6">
        <v>0.12726027461389508</v>
      </c>
    </row>
    <row r="2609">
      <c r="A2609" s="3">
        <v>44247.0</v>
      </c>
      <c r="B2609" s="6">
        <v>0.12726027461389508</v>
      </c>
    </row>
    <row r="2610">
      <c r="A2610" s="3">
        <v>44248.0</v>
      </c>
      <c r="B2610" s="6">
        <v>0.12726027461389508</v>
      </c>
    </row>
    <row r="2611">
      <c r="A2611" s="3">
        <v>44249.0</v>
      </c>
      <c r="B2611" s="6">
        <v>0.12726027461389508</v>
      </c>
    </row>
    <row r="2612">
      <c r="A2612" s="3">
        <v>44250.0</v>
      </c>
      <c r="B2612" s="6">
        <v>0.12726027461389508</v>
      </c>
    </row>
    <row r="2613">
      <c r="A2613" s="3">
        <v>44251.0</v>
      </c>
      <c r="B2613" s="6">
        <v>0.12726027461389508</v>
      </c>
    </row>
    <row r="2614">
      <c r="A2614" s="3">
        <v>44252.0</v>
      </c>
      <c r="B2614" s="6">
        <v>0.12726027461389508</v>
      </c>
    </row>
    <row r="2615">
      <c r="A2615" s="3">
        <v>44253.0</v>
      </c>
      <c r="B2615" s="6">
        <v>0.12726027461389508</v>
      </c>
    </row>
    <row r="2616">
      <c r="A2616" s="3">
        <v>44254.0</v>
      </c>
      <c r="B2616" s="6">
        <v>0.12726027461389508</v>
      </c>
    </row>
    <row r="2617">
      <c r="A2617" s="3">
        <v>44255.0</v>
      </c>
      <c r="B2617" s="6">
        <v>0.12726027461389508</v>
      </c>
    </row>
    <row r="2618">
      <c r="A2618" s="3">
        <v>44256.0</v>
      </c>
      <c r="B2618" s="6">
        <v>0.12726027461389508</v>
      </c>
    </row>
    <row r="2619">
      <c r="A2619" s="3">
        <v>44257.0</v>
      </c>
      <c r="B2619" s="6">
        <v>0.12726027461389508</v>
      </c>
    </row>
    <row r="2620">
      <c r="A2620" s="3">
        <v>44258.0</v>
      </c>
      <c r="B2620" s="6">
        <v>0.12726027461389508</v>
      </c>
    </row>
    <row r="2621">
      <c r="A2621" s="3">
        <v>44259.0</v>
      </c>
      <c r="B2621" s="6">
        <v>0.12726027461389508</v>
      </c>
    </row>
    <row r="2622">
      <c r="A2622" s="3">
        <v>44260.0</v>
      </c>
      <c r="B2622" s="6">
        <v>0.12726027461389508</v>
      </c>
    </row>
    <row r="2623">
      <c r="A2623" s="3">
        <v>44261.0</v>
      </c>
      <c r="B2623" s="6">
        <v>0.12726027461389508</v>
      </c>
    </row>
    <row r="2624">
      <c r="A2624" s="3">
        <v>44262.0</v>
      </c>
      <c r="B2624" s="6">
        <v>0.12726027461389508</v>
      </c>
    </row>
    <row r="2625">
      <c r="A2625" s="3">
        <v>44263.0</v>
      </c>
      <c r="B2625" s="6">
        <v>0.12726027461389508</v>
      </c>
    </row>
    <row r="2626">
      <c r="A2626" s="3">
        <v>44264.0</v>
      </c>
      <c r="B2626" s="6">
        <v>0.12726027461389508</v>
      </c>
    </row>
    <row r="2627">
      <c r="A2627" s="3">
        <v>44265.0</v>
      </c>
      <c r="B2627" s="6">
        <v>0.12726027461389508</v>
      </c>
    </row>
    <row r="2628">
      <c r="A2628" s="3">
        <v>44266.0</v>
      </c>
      <c r="B2628" s="6">
        <v>0.12726027461389508</v>
      </c>
    </row>
    <row r="2629">
      <c r="A2629" s="3">
        <v>44267.0</v>
      </c>
      <c r="B2629" s="6">
        <v>0.12726027461389508</v>
      </c>
    </row>
    <row r="2630">
      <c r="A2630" s="3">
        <v>44268.0</v>
      </c>
      <c r="B2630" s="6">
        <v>0.12726027461389508</v>
      </c>
    </row>
    <row r="2631">
      <c r="A2631" s="3">
        <v>44269.0</v>
      </c>
      <c r="B2631" s="6">
        <v>0.12726027461389508</v>
      </c>
    </row>
    <row r="2632">
      <c r="A2632" s="3">
        <v>44270.0</v>
      </c>
      <c r="B2632" s="6">
        <v>0.12726027461389508</v>
      </c>
    </row>
    <row r="2633">
      <c r="A2633" s="3">
        <v>44271.0</v>
      </c>
      <c r="B2633" s="6">
        <v>0.12726027461389508</v>
      </c>
    </row>
    <row r="2634">
      <c r="A2634" s="3">
        <v>44272.0</v>
      </c>
      <c r="B2634" s="6">
        <v>0.12726027461389508</v>
      </c>
    </row>
    <row r="2635">
      <c r="A2635" s="3">
        <v>44273.0</v>
      </c>
      <c r="B2635" s="6">
        <v>0.12726027461389508</v>
      </c>
    </row>
    <row r="2636">
      <c r="A2636" s="3">
        <v>44274.0</v>
      </c>
      <c r="B2636" s="6">
        <v>0.12726027461389508</v>
      </c>
    </row>
    <row r="2637">
      <c r="A2637" s="3">
        <v>44275.0</v>
      </c>
      <c r="B2637" s="6">
        <v>0.12726027461389508</v>
      </c>
    </row>
    <row r="2638">
      <c r="A2638" s="3">
        <v>44276.0</v>
      </c>
      <c r="B2638" s="6">
        <v>0.12726027461389508</v>
      </c>
    </row>
    <row r="2639">
      <c r="A2639" s="3">
        <v>44277.0</v>
      </c>
      <c r="B2639" s="6">
        <v>0.12726027461389508</v>
      </c>
    </row>
    <row r="2640">
      <c r="A2640" s="3">
        <v>44278.0</v>
      </c>
      <c r="B2640" s="6">
        <v>0.12726027461389508</v>
      </c>
    </row>
    <row r="2641">
      <c r="A2641" s="3">
        <v>44279.0</v>
      </c>
      <c r="B2641" s="6">
        <v>0.12726027461389508</v>
      </c>
    </row>
    <row r="2642">
      <c r="A2642" s="3">
        <v>44280.0</v>
      </c>
      <c r="B2642" s="6">
        <v>0.12726027461389508</v>
      </c>
    </row>
    <row r="2643">
      <c r="A2643" s="3">
        <v>44281.0</v>
      </c>
      <c r="B2643" s="6">
        <v>0.12726027461389508</v>
      </c>
    </row>
    <row r="2644">
      <c r="A2644" s="3">
        <v>44282.0</v>
      </c>
      <c r="B2644" s="6">
        <v>0.12726027461389508</v>
      </c>
    </row>
    <row r="2645">
      <c r="A2645" s="3">
        <v>44283.0</v>
      </c>
      <c r="B2645" s="6">
        <v>0.12726027461389508</v>
      </c>
    </row>
    <row r="2646">
      <c r="A2646" s="3">
        <v>44284.0</v>
      </c>
      <c r="B2646" s="6">
        <v>0.12726027461389508</v>
      </c>
    </row>
    <row r="2647">
      <c r="A2647" s="3">
        <v>44285.0</v>
      </c>
      <c r="B2647" s="6">
        <v>0.12726027461389508</v>
      </c>
    </row>
    <row r="2648">
      <c r="A2648" s="3">
        <v>44286.0</v>
      </c>
      <c r="B2648" s="6">
        <v>0.12726027461389508</v>
      </c>
    </row>
    <row r="2649">
      <c r="A2649" s="3">
        <v>44287.0</v>
      </c>
      <c r="B2649" s="6">
        <v>0.12726027461389508</v>
      </c>
    </row>
    <row r="2650">
      <c r="A2650" s="3">
        <v>44288.0</v>
      </c>
      <c r="B2650" s="6">
        <v>0.12726027461389508</v>
      </c>
    </row>
    <row r="2651">
      <c r="A2651" s="3">
        <v>44289.0</v>
      </c>
      <c r="B2651" s="6">
        <v>0.12726027461389508</v>
      </c>
    </row>
    <row r="2652">
      <c r="A2652" s="3">
        <v>44290.0</v>
      </c>
      <c r="B2652" s="6">
        <v>0.12726027461389508</v>
      </c>
    </row>
    <row r="2653">
      <c r="A2653" s="3">
        <v>44291.0</v>
      </c>
      <c r="B2653" s="6">
        <v>0.12726027461389508</v>
      </c>
    </row>
    <row r="2654">
      <c r="A2654" s="3">
        <v>44292.0</v>
      </c>
      <c r="B2654" s="6">
        <v>0.12726027461389508</v>
      </c>
    </row>
    <row r="2655">
      <c r="A2655" s="3">
        <v>44293.0</v>
      </c>
      <c r="B2655" s="6">
        <v>0.12726027461389508</v>
      </c>
    </row>
    <row r="2656">
      <c r="A2656" s="3">
        <v>44294.0</v>
      </c>
      <c r="B2656" s="6">
        <v>0.12726027461389508</v>
      </c>
    </row>
    <row r="2657">
      <c r="A2657" s="3">
        <v>44295.0</v>
      </c>
      <c r="B2657" s="6">
        <v>0.12726027461389508</v>
      </c>
    </row>
    <row r="2658">
      <c r="A2658" s="3">
        <v>44296.0</v>
      </c>
      <c r="B2658" s="6">
        <v>0.12726027461389508</v>
      </c>
    </row>
    <row r="2659">
      <c r="A2659" s="3">
        <v>44297.0</v>
      </c>
      <c r="B2659" s="6">
        <v>0.12726027461389508</v>
      </c>
    </row>
    <row r="2660">
      <c r="A2660" s="3">
        <v>44298.0</v>
      </c>
      <c r="B2660" s="6">
        <v>0.12726027461389508</v>
      </c>
    </row>
    <row r="2661">
      <c r="A2661" s="3">
        <v>44299.0</v>
      </c>
      <c r="B2661" s="6">
        <v>0.12726027461389508</v>
      </c>
    </row>
    <row r="2662">
      <c r="A2662" s="3">
        <v>44300.0</v>
      </c>
      <c r="B2662" s="6">
        <v>0.12726027461389508</v>
      </c>
    </row>
    <row r="2663">
      <c r="A2663" s="3">
        <v>44301.0</v>
      </c>
      <c r="B2663" s="6">
        <v>0.12726027461389508</v>
      </c>
    </row>
    <row r="2664">
      <c r="A2664" s="3">
        <v>44302.0</v>
      </c>
      <c r="B2664" s="6">
        <v>0.12726027461389508</v>
      </c>
    </row>
    <row r="2665">
      <c r="A2665" s="3">
        <v>44303.0</v>
      </c>
      <c r="B2665" s="6">
        <v>0.12726027461389508</v>
      </c>
    </row>
    <row r="2666">
      <c r="A2666" s="3">
        <v>44304.0</v>
      </c>
      <c r="B2666" s="6">
        <v>0.12726027461389508</v>
      </c>
    </row>
    <row r="2667">
      <c r="A2667" s="3">
        <v>44305.0</v>
      </c>
      <c r="B2667" s="6">
        <v>0.12726027461389508</v>
      </c>
    </row>
    <row r="2668">
      <c r="A2668" s="3">
        <v>44306.0</v>
      </c>
      <c r="B2668" s="6">
        <v>0.12726027461389508</v>
      </c>
    </row>
    <row r="2669">
      <c r="A2669" s="3">
        <v>44307.0</v>
      </c>
      <c r="B2669" s="6">
        <v>0.12726027461389508</v>
      </c>
    </row>
    <row r="2670">
      <c r="A2670" s="3">
        <v>44308.0</v>
      </c>
      <c r="B2670" s="6">
        <v>0.12726027461389508</v>
      </c>
    </row>
    <row r="2671">
      <c r="A2671" s="3">
        <v>44309.0</v>
      </c>
      <c r="B2671" s="6">
        <v>0.12726027461389508</v>
      </c>
    </row>
    <row r="2672">
      <c r="A2672" s="3">
        <v>44310.0</v>
      </c>
      <c r="B2672" s="6">
        <v>0.12726027461389508</v>
      </c>
    </row>
    <row r="2673">
      <c r="A2673" s="3">
        <v>44311.0</v>
      </c>
      <c r="B2673" s="6">
        <v>0.12726027461389508</v>
      </c>
    </row>
    <row r="2674">
      <c r="A2674" s="3">
        <v>44312.0</v>
      </c>
      <c r="B2674" s="6">
        <v>0.12726027461389508</v>
      </c>
    </row>
    <row r="2675">
      <c r="A2675" s="3">
        <v>44313.0</v>
      </c>
      <c r="B2675" s="6">
        <v>0.12726027461389508</v>
      </c>
    </row>
    <row r="2676">
      <c r="A2676" s="3">
        <v>44314.0</v>
      </c>
      <c r="B2676" s="6">
        <v>0.12726027461389508</v>
      </c>
    </row>
    <row r="2677">
      <c r="A2677" s="3">
        <v>44315.0</v>
      </c>
      <c r="B2677" s="6">
        <v>0.12726027461389508</v>
      </c>
    </row>
    <row r="2678">
      <c r="A2678" s="3">
        <v>44316.0</v>
      </c>
      <c r="B2678" s="6">
        <v>0.12726027461389508</v>
      </c>
    </row>
    <row r="2679">
      <c r="A2679" s="3">
        <v>44317.0</v>
      </c>
      <c r="B2679" s="6">
        <v>0.12726027461389508</v>
      </c>
    </row>
    <row r="2680">
      <c r="A2680" s="3">
        <v>44318.0</v>
      </c>
      <c r="B2680" s="6">
        <v>0.12726027461389508</v>
      </c>
    </row>
    <row r="2681">
      <c r="A2681" s="3">
        <v>44319.0</v>
      </c>
      <c r="B2681" s="6">
        <v>0.12726027461389508</v>
      </c>
    </row>
    <row r="2682">
      <c r="A2682" s="3">
        <v>44320.0</v>
      </c>
      <c r="B2682" s="6">
        <v>0.12726027461389508</v>
      </c>
    </row>
    <row r="2683">
      <c r="A2683" s="3">
        <v>44321.0</v>
      </c>
      <c r="B2683" s="6">
        <v>0.12726027461389508</v>
      </c>
    </row>
    <row r="2684">
      <c r="A2684" s="3">
        <v>44322.0</v>
      </c>
      <c r="B2684" s="6">
        <v>0.12726027461389508</v>
      </c>
    </row>
    <row r="2685">
      <c r="A2685" s="3">
        <v>44323.0</v>
      </c>
      <c r="B2685" s="6">
        <v>0.12726027461389508</v>
      </c>
    </row>
    <row r="2686">
      <c r="A2686" s="3">
        <v>44324.0</v>
      </c>
      <c r="B2686" s="6">
        <v>0.12726027461389508</v>
      </c>
    </row>
    <row r="2687">
      <c r="A2687" s="3">
        <v>44325.0</v>
      </c>
      <c r="B2687" s="6">
        <v>0.12726027461389508</v>
      </c>
    </row>
    <row r="2688">
      <c r="A2688" s="3">
        <v>44326.0</v>
      </c>
      <c r="B2688" s="6">
        <v>0.12726027461389508</v>
      </c>
    </row>
    <row r="2689">
      <c r="A2689" s="3">
        <v>44327.0</v>
      </c>
      <c r="B2689" s="6">
        <v>0.12726027461389508</v>
      </c>
    </row>
    <row r="2690">
      <c r="A2690" s="3">
        <v>44328.0</v>
      </c>
      <c r="B2690" s="6">
        <v>0.12726027461389508</v>
      </c>
    </row>
    <row r="2691">
      <c r="A2691" s="3">
        <v>44329.0</v>
      </c>
      <c r="B2691" s="6">
        <v>0.12726027461389508</v>
      </c>
    </row>
    <row r="2692">
      <c r="A2692" s="3">
        <v>44330.0</v>
      </c>
      <c r="B2692" s="6">
        <v>0.12726027461389508</v>
      </c>
    </row>
    <row r="2693">
      <c r="A2693" s="3">
        <v>44331.0</v>
      </c>
      <c r="B2693" s="6">
        <v>0.12726027461389508</v>
      </c>
    </row>
    <row r="2694">
      <c r="A2694" s="3">
        <v>44332.0</v>
      </c>
      <c r="B2694" s="6">
        <v>0.12726027461389508</v>
      </c>
    </row>
    <row r="2695">
      <c r="A2695" s="3">
        <v>44333.0</v>
      </c>
      <c r="B2695" s="6">
        <v>0.12726027461389508</v>
      </c>
    </row>
    <row r="2696">
      <c r="A2696" s="3">
        <v>44334.0</v>
      </c>
      <c r="B2696" s="6">
        <v>0.12726027461389508</v>
      </c>
    </row>
    <row r="2697">
      <c r="A2697" s="3">
        <v>44335.0</v>
      </c>
      <c r="B2697" s="6">
        <v>0.12726027461389508</v>
      </c>
    </row>
    <row r="2698">
      <c r="A2698" s="3">
        <v>44336.0</v>
      </c>
      <c r="B2698" s="6">
        <v>0.12726027461389508</v>
      </c>
    </row>
    <row r="2699">
      <c r="A2699" s="3">
        <v>44337.0</v>
      </c>
      <c r="B2699" s="6">
        <v>0.12726027461389508</v>
      </c>
    </row>
    <row r="2700">
      <c r="A2700" s="3">
        <v>44338.0</v>
      </c>
      <c r="B2700" s="6">
        <v>0.12726027461389508</v>
      </c>
    </row>
    <row r="2701">
      <c r="A2701" s="3">
        <v>44339.0</v>
      </c>
      <c r="B2701" s="6">
        <v>0.12726027461389508</v>
      </c>
    </row>
    <row r="2702">
      <c r="A2702" s="3">
        <v>44340.0</v>
      </c>
      <c r="B2702" s="6">
        <v>0.12726027461389508</v>
      </c>
    </row>
    <row r="2703">
      <c r="A2703" s="3">
        <v>44341.0</v>
      </c>
      <c r="B2703" s="6">
        <v>0.12726027461389508</v>
      </c>
    </row>
    <row r="2704">
      <c r="A2704" s="3">
        <v>44342.0</v>
      </c>
      <c r="B2704" s="6">
        <v>0.12726027461389508</v>
      </c>
    </row>
    <row r="2705">
      <c r="A2705" s="3">
        <v>44343.0</v>
      </c>
      <c r="B2705" s="6">
        <v>0.12726027461389508</v>
      </c>
    </row>
    <row r="2706">
      <c r="A2706" s="3">
        <v>44344.0</v>
      </c>
      <c r="B2706" s="6">
        <v>0.12726027461389508</v>
      </c>
    </row>
    <row r="2707">
      <c r="A2707" s="3">
        <v>44345.0</v>
      </c>
      <c r="B2707" s="6">
        <v>0.12726027461389508</v>
      </c>
    </row>
    <row r="2708">
      <c r="A2708" s="3">
        <v>44346.0</v>
      </c>
      <c r="B2708" s="6">
        <v>0.12726027461389508</v>
      </c>
    </row>
    <row r="2709">
      <c r="A2709" s="3">
        <v>44347.0</v>
      </c>
      <c r="B2709" s="6">
        <v>0.12726027461389508</v>
      </c>
    </row>
    <row r="2710">
      <c r="A2710" s="3">
        <v>44348.0</v>
      </c>
      <c r="B2710" s="6">
        <v>0.12726027461389508</v>
      </c>
    </row>
    <row r="2711">
      <c r="A2711" s="3">
        <v>44349.0</v>
      </c>
      <c r="B2711" s="6">
        <v>0.12726027461389508</v>
      </c>
    </row>
    <row r="2712">
      <c r="A2712" s="3">
        <v>44350.0</v>
      </c>
      <c r="B2712" s="6">
        <v>0.12726027461389508</v>
      </c>
    </row>
    <row r="2713">
      <c r="A2713" s="3">
        <v>44351.0</v>
      </c>
      <c r="B2713" s="6">
        <v>0.12726027461389508</v>
      </c>
    </row>
    <row r="2714">
      <c r="A2714" s="3">
        <v>44352.0</v>
      </c>
      <c r="B2714" s="6">
        <v>0.12726027461389508</v>
      </c>
    </row>
    <row r="2715">
      <c r="A2715" s="3">
        <v>44353.0</v>
      </c>
      <c r="B2715" s="6">
        <v>0.12726027461389508</v>
      </c>
    </row>
    <row r="2716">
      <c r="A2716" s="3">
        <v>44354.0</v>
      </c>
      <c r="B2716" s="6">
        <v>0.12726027461389508</v>
      </c>
    </row>
    <row r="2717">
      <c r="A2717" s="3">
        <v>44355.0</v>
      </c>
      <c r="B2717" s="6">
        <v>0.12726027461389508</v>
      </c>
    </row>
    <row r="2718">
      <c r="A2718" s="3">
        <v>44356.0</v>
      </c>
      <c r="B2718" s="6">
        <v>0.12726027461389508</v>
      </c>
    </row>
    <row r="2719">
      <c r="A2719" s="3">
        <v>44357.0</v>
      </c>
      <c r="B2719" s="6">
        <v>0.12726027461389508</v>
      </c>
    </row>
    <row r="2720">
      <c r="A2720" s="3">
        <v>44358.0</v>
      </c>
      <c r="B2720" s="6">
        <v>0.12726027461389508</v>
      </c>
    </row>
    <row r="2721">
      <c r="A2721" s="3">
        <v>44359.0</v>
      </c>
      <c r="B2721" s="6">
        <v>0.12726027461389508</v>
      </c>
    </row>
    <row r="2722">
      <c r="A2722" s="3">
        <v>44360.0</v>
      </c>
      <c r="B2722" s="6">
        <v>0.12726027461389508</v>
      </c>
    </row>
    <row r="2723">
      <c r="A2723" s="3">
        <v>44361.0</v>
      </c>
      <c r="B2723" s="6">
        <v>0.12726027461389508</v>
      </c>
    </row>
    <row r="2724">
      <c r="A2724" s="3">
        <v>44362.0</v>
      </c>
      <c r="B2724" s="6">
        <v>0.12726027461389508</v>
      </c>
    </row>
    <row r="2725">
      <c r="A2725" s="3">
        <v>44363.0</v>
      </c>
      <c r="B2725" s="6">
        <v>0.12726027461389508</v>
      </c>
    </row>
    <row r="2726">
      <c r="A2726" s="3">
        <v>44364.0</v>
      </c>
      <c r="B2726" s="6">
        <v>0.12726027461389508</v>
      </c>
    </row>
    <row r="2727">
      <c r="A2727" s="3">
        <v>44365.0</v>
      </c>
      <c r="B2727" s="6">
        <v>0.12726027461389508</v>
      </c>
    </row>
    <row r="2728">
      <c r="A2728" s="3">
        <v>44366.0</v>
      </c>
      <c r="B2728" s="6">
        <v>0.12726027461389508</v>
      </c>
    </row>
    <row r="2729">
      <c r="A2729" s="3">
        <v>44367.0</v>
      </c>
      <c r="B2729" s="6">
        <v>0.12726027461389508</v>
      </c>
    </row>
    <row r="2730">
      <c r="A2730" s="3">
        <v>44368.0</v>
      </c>
      <c r="B2730" s="6">
        <v>0.12726027461389508</v>
      </c>
    </row>
    <row r="2731">
      <c r="A2731" s="3">
        <v>44369.0</v>
      </c>
      <c r="B2731" s="6">
        <v>0.12726027461389508</v>
      </c>
    </row>
    <row r="2732">
      <c r="A2732" s="3">
        <v>44370.0</v>
      </c>
      <c r="B2732" s="6">
        <v>0.12726027461389508</v>
      </c>
    </row>
    <row r="2733">
      <c r="A2733" s="3">
        <v>44371.0</v>
      </c>
      <c r="B2733" s="6">
        <v>0.12726027461389508</v>
      </c>
    </row>
    <row r="2734">
      <c r="A2734" s="3">
        <v>44372.0</v>
      </c>
      <c r="B2734" s="6">
        <v>0.12726027461389508</v>
      </c>
    </row>
    <row r="2735">
      <c r="A2735" s="3">
        <v>44373.0</v>
      </c>
      <c r="B2735" s="6">
        <v>0.12726027461389508</v>
      </c>
    </row>
    <row r="2736">
      <c r="A2736" s="3">
        <v>44374.0</v>
      </c>
      <c r="B2736" s="6">
        <v>0.12726027461389508</v>
      </c>
    </row>
    <row r="2737">
      <c r="A2737" s="3">
        <v>44375.0</v>
      </c>
      <c r="B2737" s="6">
        <v>0.12726027461389508</v>
      </c>
    </row>
    <row r="2738">
      <c r="A2738" s="3">
        <v>44376.0</v>
      </c>
      <c r="B2738" s="6">
        <v>0.12726027461389508</v>
      </c>
    </row>
    <row r="2739">
      <c r="A2739" s="3">
        <v>44377.0</v>
      </c>
      <c r="B2739" s="6">
        <v>0.12726027461389508</v>
      </c>
    </row>
    <row r="2740">
      <c r="A2740" s="3">
        <v>44378.0</v>
      </c>
      <c r="B2740" s="6">
        <v>0.13694424115301632</v>
      </c>
    </row>
    <row r="2741">
      <c r="A2741" s="3">
        <v>44379.0</v>
      </c>
      <c r="B2741" s="6">
        <v>0.13694424115301632</v>
      </c>
    </row>
    <row r="2742">
      <c r="A2742" s="3">
        <v>44380.0</v>
      </c>
      <c r="B2742" s="6">
        <v>0.13694424115301632</v>
      </c>
    </row>
    <row r="2743">
      <c r="A2743" s="3">
        <v>44381.0</v>
      </c>
      <c r="B2743" s="6">
        <v>0.13694424115301632</v>
      </c>
    </row>
    <row r="2744">
      <c r="A2744" s="3">
        <v>44382.0</v>
      </c>
      <c r="B2744" s="6">
        <v>0.13694424115301632</v>
      </c>
    </row>
    <row r="2745">
      <c r="A2745" s="3">
        <v>44383.0</v>
      </c>
      <c r="B2745" s="6">
        <v>0.13694424115301632</v>
      </c>
    </row>
    <row r="2746">
      <c r="A2746" s="3">
        <v>44384.0</v>
      </c>
      <c r="B2746" s="6">
        <v>0.13694424115301632</v>
      </c>
    </row>
    <row r="2747">
      <c r="A2747" s="3">
        <v>44385.0</v>
      </c>
      <c r="B2747" s="6">
        <v>0.13694424115301632</v>
      </c>
    </row>
    <row r="2748">
      <c r="A2748" s="3">
        <v>44386.0</v>
      </c>
      <c r="B2748" s="6">
        <v>0.13694424115301632</v>
      </c>
    </row>
    <row r="2749">
      <c r="A2749" s="3">
        <v>44387.0</v>
      </c>
      <c r="B2749" s="6">
        <v>0.13694424115301632</v>
      </c>
    </row>
    <row r="2750">
      <c r="A2750" s="3">
        <v>44388.0</v>
      </c>
      <c r="B2750" s="6">
        <v>0.13694424115301632</v>
      </c>
    </row>
    <row r="2751">
      <c r="A2751" s="3">
        <v>44389.0</v>
      </c>
      <c r="B2751" s="6">
        <v>0.13694424115301632</v>
      </c>
    </row>
    <row r="2752">
      <c r="A2752" s="3">
        <v>44390.0</v>
      </c>
      <c r="B2752" s="6">
        <v>0.13694424115301632</v>
      </c>
    </row>
    <row r="2753">
      <c r="A2753" s="3">
        <v>44391.0</v>
      </c>
      <c r="B2753" s="6">
        <v>0.13694424115301632</v>
      </c>
    </row>
    <row r="2754">
      <c r="A2754" s="3">
        <v>44392.0</v>
      </c>
      <c r="B2754" s="6">
        <v>0.13694424115301632</v>
      </c>
    </row>
    <row r="2755">
      <c r="A2755" s="3">
        <v>44393.0</v>
      </c>
      <c r="B2755" s="6">
        <v>0.13694424115301632</v>
      </c>
    </row>
    <row r="2756">
      <c r="A2756" s="3">
        <v>44394.0</v>
      </c>
      <c r="B2756" s="6">
        <v>0.13694424115301632</v>
      </c>
    </row>
    <row r="2757">
      <c r="A2757" s="3">
        <v>44395.0</v>
      </c>
      <c r="B2757" s="6">
        <v>0.13694424115301632</v>
      </c>
    </row>
    <row r="2758">
      <c r="A2758" s="3">
        <v>44396.0</v>
      </c>
      <c r="B2758" s="6">
        <v>0.13694424115301632</v>
      </c>
    </row>
    <row r="2759">
      <c r="A2759" s="3">
        <v>44397.0</v>
      </c>
      <c r="B2759" s="6">
        <v>0.13694424115301632</v>
      </c>
    </row>
    <row r="2760">
      <c r="A2760" s="3">
        <v>44398.0</v>
      </c>
      <c r="B2760" s="6">
        <v>0.13694424115301632</v>
      </c>
    </row>
    <row r="2761">
      <c r="A2761" s="3">
        <v>44399.0</v>
      </c>
      <c r="B2761" s="6">
        <v>0.13694424115301632</v>
      </c>
    </row>
    <row r="2762">
      <c r="A2762" s="3">
        <v>44400.0</v>
      </c>
      <c r="B2762" s="6">
        <v>0.13694424115301632</v>
      </c>
    </row>
    <row r="2763">
      <c r="A2763" s="3">
        <v>44401.0</v>
      </c>
      <c r="B2763" s="6">
        <v>0.13694424115301632</v>
      </c>
    </row>
    <row r="2764">
      <c r="A2764" s="3">
        <v>44402.0</v>
      </c>
      <c r="B2764" s="6">
        <v>0.13694424115301632</v>
      </c>
    </row>
    <row r="2765">
      <c r="A2765" s="3">
        <v>44403.0</v>
      </c>
      <c r="B2765" s="6">
        <v>0.13694424115301632</v>
      </c>
    </row>
    <row r="2766">
      <c r="A2766" s="3">
        <v>44404.0</v>
      </c>
      <c r="B2766" s="6">
        <v>0.13694424115301632</v>
      </c>
    </row>
    <row r="2767">
      <c r="A2767" s="3">
        <v>44405.0</v>
      </c>
      <c r="B2767" s="6">
        <v>0.13694424115301632</v>
      </c>
    </row>
    <row r="2768">
      <c r="A2768" s="3">
        <v>44406.0</v>
      </c>
      <c r="B2768" s="6">
        <v>0.13694424115301632</v>
      </c>
    </row>
    <row r="2769">
      <c r="A2769" s="3">
        <v>44407.0</v>
      </c>
      <c r="B2769" s="6">
        <v>0.13694424115301632</v>
      </c>
    </row>
    <row r="2770">
      <c r="A2770" s="3">
        <v>44408.0</v>
      </c>
      <c r="B2770" s="6">
        <v>0.13694424115301632</v>
      </c>
    </row>
    <row r="2771">
      <c r="A2771" s="3">
        <v>44409.0</v>
      </c>
      <c r="B2771" s="6">
        <v>0.13694424115301632</v>
      </c>
    </row>
    <row r="2772">
      <c r="A2772" s="3">
        <v>44410.0</v>
      </c>
      <c r="B2772" s="6">
        <v>0.13694424115301632</v>
      </c>
    </row>
    <row r="2773">
      <c r="A2773" s="3">
        <v>44411.0</v>
      </c>
      <c r="B2773" s="6">
        <v>0.13694424115301632</v>
      </c>
    </row>
    <row r="2774">
      <c r="A2774" s="3">
        <v>44412.0</v>
      </c>
      <c r="B2774" s="6">
        <v>0.13694424115301632</v>
      </c>
    </row>
    <row r="2775">
      <c r="A2775" s="3">
        <v>44413.0</v>
      </c>
      <c r="B2775" s="6">
        <v>0.13694424115301632</v>
      </c>
    </row>
    <row r="2776">
      <c r="A2776" s="3">
        <v>44414.0</v>
      </c>
      <c r="B2776" s="6">
        <v>0.13694424115301632</v>
      </c>
    </row>
    <row r="2777">
      <c r="A2777" s="3">
        <v>44415.0</v>
      </c>
      <c r="B2777" s="6">
        <v>0.13694424115301632</v>
      </c>
    </row>
    <row r="2778">
      <c r="A2778" s="3">
        <v>44416.0</v>
      </c>
      <c r="B2778" s="6">
        <v>0.13694424115301632</v>
      </c>
    </row>
    <row r="2779">
      <c r="A2779" s="3">
        <v>44417.0</v>
      </c>
      <c r="B2779" s="6">
        <v>0.13694424115301632</v>
      </c>
    </row>
    <row r="2780">
      <c r="A2780" s="3">
        <v>44418.0</v>
      </c>
      <c r="B2780" s="6">
        <v>0.13694424115301632</v>
      </c>
    </row>
    <row r="2781">
      <c r="A2781" s="3">
        <v>44419.0</v>
      </c>
      <c r="B2781" s="6">
        <v>0.13694424115301632</v>
      </c>
    </row>
    <row r="2782">
      <c r="A2782" s="3">
        <v>44420.0</v>
      </c>
      <c r="B2782" s="6">
        <v>0.13694424115301632</v>
      </c>
    </row>
    <row r="2783">
      <c r="A2783" s="3">
        <v>44421.0</v>
      </c>
      <c r="B2783" s="6">
        <v>0.13694424115301632</v>
      </c>
    </row>
    <row r="2784">
      <c r="A2784" s="3">
        <v>44422.0</v>
      </c>
      <c r="B2784" s="6">
        <v>0.13694424115301632</v>
      </c>
    </row>
    <row r="2785">
      <c r="A2785" s="3">
        <v>44423.0</v>
      </c>
      <c r="B2785" s="6">
        <v>0.13694424115301632</v>
      </c>
    </row>
    <row r="2786">
      <c r="A2786" s="3">
        <v>44424.0</v>
      </c>
      <c r="B2786" s="6">
        <v>0.13694424115301632</v>
      </c>
    </row>
    <row r="2787">
      <c r="A2787" s="3">
        <v>44425.0</v>
      </c>
      <c r="B2787" s="6">
        <v>0.13694424115301632</v>
      </c>
    </row>
    <row r="2788">
      <c r="A2788" s="3">
        <v>44426.0</v>
      </c>
      <c r="B2788" s="6">
        <v>0.13694424115301632</v>
      </c>
    </row>
    <row r="2789">
      <c r="A2789" s="3">
        <v>44427.0</v>
      </c>
      <c r="B2789" s="6">
        <v>0.13694424115301632</v>
      </c>
    </row>
    <row r="2790">
      <c r="A2790" s="3">
        <v>44428.0</v>
      </c>
      <c r="B2790" s="6">
        <v>0.13694424115301632</v>
      </c>
    </row>
    <row r="2791">
      <c r="A2791" s="3">
        <v>44429.0</v>
      </c>
      <c r="B2791" s="6">
        <v>0.13694424115301632</v>
      </c>
    </row>
    <row r="2792">
      <c r="A2792" s="3">
        <v>44430.0</v>
      </c>
      <c r="B2792" s="6">
        <v>0.13694424115301632</v>
      </c>
    </row>
    <row r="2793">
      <c r="A2793" s="3">
        <v>44431.0</v>
      </c>
      <c r="B2793" s="6">
        <v>0.13694424115301632</v>
      </c>
    </row>
    <row r="2794">
      <c r="A2794" s="3">
        <v>44432.0</v>
      </c>
      <c r="B2794" s="6">
        <v>0.13694424115301632</v>
      </c>
    </row>
    <row r="2795">
      <c r="A2795" s="3">
        <v>44433.0</v>
      </c>
      <c r="B2795" s="6">
        <v>0.13694424115301632</v>
      </c>
    </row>
    <row r="2796">
      <c r="A2796" s="3">
        <v>44434.0</v>
      </c>
      <c r="B2796" s="6">
        <v>0.13694424115301632</v>
      </c>
    </row>
    <row r="2797">
      <c r="A2797" s="3">
        <v>44435.0</v>
      </c>
      <c r="B2797" s="6">
        <v>0.13694424115301632</v>
      </c>
    </row>
    <row r="2798">
      <c r="A2798" s="3">
        <v>44436.0</v>
      </c>
      <c r="B2798" s="6">
        <v>0.13694424115301632</v>
      </c>
    </row>
    <row r="2799">
      <c r="A2799" s="3">
        <v>44437.0</v>
      </c>
      <c r="B2799" s="6">
        <v>0.13694424115301632</v>
      </c>
    </row>
    <row r="2800">
      <c r="A2800" s="3">
        <v>44438.0</v>
      </c>
      <c r="B2800" s="6">
        <v>0.13694424115301632</v>
      </c>
    </row>
    <row r="2801">
      <c r="A2801" s="3">
        <v>44439.0</v>
      </c>
      <c r="B2801" s="6">
        <v>0.13694424115301632</v>
      </c>
    </row>
    <row r="2802">
      <c r="A2802" s="3">
        <v>44440.0</v>
      </c>
      <c r="B2802" s="6">
        <v>0.13694424115301632</v>
      </c>
    </row>
    <row r="2803">
      <c r="A2803" s="3">
        <v>44441.0</v>
      </c>
      <c r="B2803" s="6">
        <v>0.13694424115301632</v>
      </c>
    </row>
    <row r="2804">
      <c r="A2804" s="3">
        <v>44442.0</v>
      </c>
      <c r="B2804" s="6">
        <v>0.13694424115301632</v>
      </c>
    </row>
    <row r="2805">
      <c r="A2805" s="3">
        <v>44443.0</v>
      </c>
      <c r="B2805" s="6">
        <v>0.13694424115301632</v>
      </c>
    </row>
    <row r="2806">
      <c r="A2806" s="3">
        <v>44444.0</v>
      </c>
      <c r="B2806" s="6">
        <v>0.13694424115301632</v>
      </c>
    </row>
    <row r="2807">
      <c r="A2807" s="3">
        <v>44445.0</v>
      </c>
      <c r="B2807" s="6">
        <v>0.13694424115301632</v>
      </c>
    </row>
    <row r="2808">
      <c r="A2808" s="3">
        <v>44446.0</v>
      </c>
      <c r="B2808" s="6">
        <v>0.13694424115301632</v>
      </c>
    </row>
    <row r="2809">
      <c r="A2809" s="3">
        <v>44447.0</v>
      </c>
      <c r="B2809" s="6">
        <v>0.13694424115301632</v>
      </c>
    </row>
    <row r="2810">
      <c r="A2810" s="3">
        <v>44448.0</v>
      </c>
      <c r="B2810" s="6">
        <v>0.13694424115301632</v>
      </c>
    </row>
    <row r="2811">
      <c r="A2811" s="3">
        <v>44449.0</v>
      </c>
      <c r="B2811" s="6">
        <v>0.13694424115301632</v>
      </c>
    </row>
    <row r="2812">
      <c r="A2812" s="3">
        <v>44450.0</v>
      </c>
      <c r="B2812" s="6">
        <v>0.13694424115301632</v>
      </c>
    </row>
    <row r="2813">
      <c r="A2813" s="3">
        <v>44451.0</v>
      </c>
      <c r="B2813" s="6">
        <v>0.13694424115301632</v>
      </c>
    </row>
    <row r="2814">
      <c r="A2814" s="3">
        <v>44452.0</v>
      </c>
      <c r="B2814" s="6">
        <v>0.13694424115301632</v>
      </c>
    </row>
    <row r="2815">
      <c r="A2815" s="3">
        <v>44453.0</v>
      </c>
      <c r="B2815" s="6">
        <v>0.13694424115301632</v>
      </c>
    </row>
    <row r="2816">
      <c r="A2816" s="3">
        <v>44454.0</v>
      </c>
      <c r="B2816" s="6">
        <v>0.13694424115301632</v>
      </c>
    </row>
    <row r="2817">
      <c r="A2817" s="3">
        <v>44455.0</v>
      </c>
      <c r="B2817" s="6">
        <v>0.13694424115301632</v>
      </c>
    </row>
    <row r="2818">
      <c r="A2818" s="3">
        <v>44456.0</v>
      </c>
      <c r="B2818" s="6">
        <v>0.13694424115301632</v>
      </c>
    </row>
    <row r="2819">
      <c r="A2819" s="3">
        <v>44457.0</v>
      </c>
      <c r="B2819" s="6">
        <v>0.13694424115301632</v>
      </c>
    </row>
    <row r="2820">
      <c r="A2820" s="3">
        <v>44458.0</v>
      </c>
      <c r="B2820" s="6">
        <v>0.13694424115301632</v>
      </c>
    </row>
    <row r="2821">
      <c r="A2821" s="3">
        <v>44459.0</v>
      </c>
      <c r="B2821" s="6">
        <v>0.13694424115301632</v>
      </c>
    </row>
    <row r="2822">
      <c r="A2822" s="3">
        <v>44460.0</v>
      </c>
      <c r="B2822" s="6">
        <v>0.13694424115301632</v>
      </c>
    </row>
    <row r="2823">
      <c r="A2823" s="3">
        <v>44461.0</v>
      </c>
      <c r="B2823" s="6">
        <v>0.13694424115301632</v>
      </c>
    </row>
    <row r="2824">
      <c r="A2824" s="3">
        <v>44462.0</v>
      </c>
      <c r="B2824" s="6">
        <v>0.13694424115301632</v>
      </c>
    </row>
    <row r="2825">
      <c r="A2825" s="3">
        <v>44463.0</v>
      </c>
      <c r="B2825" s="6">
        <v>0.13694424115301632</v>
      </c>
    </row>
    <row r="2826">
      <c r="A2826" s="3">
        <v>44464.0</v>
      </c>
      <c r="B2826" s="6">
        <v>0.13694424115301632</v>
      </c>
    </row>
    <row r="2827">
      <c r="A2827" s="3">
        <v>44465.0</v>
      </c>
      <c r="B2827" s="6">
        <v>0.13694424115301632</v>
      </c>
    </row>
    <row r="2828">
      <c r="A2828" s="3">
        <v>44466.0</v>
      </c>
      <c r="B2828" s="6">
        <v>0.13694424115301632</v>
      </c>
    </row>
    <row r="2829">
      <c r="A2829" s="3">
        <v>44467.0</v>
      </c>
      <c r="B2829" s="6">
        <v>0.13694424115301632</v>
      </c>
    </row>
    <row r="2830">
      <c r="A2830" s="3">
        <v>44468.0</v>
      </c>
      <c r="B2830" s="6">
        <v>0.13694424115301632</v>
      </c>
    </row>
    <row r="2831">
      <c r="A2831" s="3">
        <v>44469.0</v>
      </c>
      <c r="B2831" s="6">
        <v>0.13694424115301632</v>
      </c>
    </row>
    <row r="2832">
      <c r="A2832" s="3">
        <v>44470.0</v>
      </c>
      <c r="B2832" s="6">
        <v>0.13694424115301632</v>
      </c>
    </row>
    <row r="2833">
      <c r="A2833" s="3">
        <v>44471.0</v>
      </c>
      <c r="B2833" s="6">
        <v>0.13694424115301632</v>
      </c>
    </row>
    <row r="2834">
      <c r="A2834" s="3">
        <v>44472.0</v>
      </c>
      <c r="B2834" s="6">
        <v>0.13694424115301632</v>
      </c>
    </row>
    <row r="2835">
      <c r="A2835" s="3">
        <v>44473.0</v>
      </c>
      <c r="B2835" s="6">
        <v>0.13694424115301632</v>
      </c>
    </row>
    <row r="2836">
      <c r="A2836" s="3">
        <v>44474.0</v>
      </c>
      <c r="B2836" s="6">
        <v>0.13694424115301632</v>
      </c>
    </row>
    <row r="2837">
      <c r="A2837" s="3">
        <v>44475.0</v>
      </c>
      <c r="B2837" s="6">
        <v>0.13694424115301632</v>
      </c>
    </row>
    <row r="2838">
      <c r="A2838" s="3">
        <v>44476.0</v>
      </c>
      <c r="B2838" s="6">
        <v>0.13694424115301632</v>
      </c>
    </row>
    <row r="2839">
      <c r="A2839" s="3">
        <v>44477.0</v>
      </c>
      <c r="B2839" s="6">
        <v>0.13694424115301632</v>
      </c>
    </row>
    <row r="2840">
      <c r="A2840" s="3">
        <v>44478.0</v>
      </c>
      <c r="B2840" s="6">
        <v>0.13694424115301632</v>
      </c>
    </row>
    <row r="2841">
      <c r="A2841" s="3">
        <v>44479.0</v>
      </c>
      <c r="B2841" s="6">
        <v>0.13694424115301632</v>
      </c>
    </row>
    <row r="2842">
      <c r="A2842" s="3">
        <v>44480.0</v>
      </c>
      <c r="B2842" s="6">
        <v>0.13694424115301632</v>
      </c>
    </row>
    <row r="2843">
      <c r="A2843" s="3">
        <v>44481.0</v>
      </c>
      <c r="B2843" s="6">
        <v>0.13694424115301632</v>
      </c>
    </row>
    <row r="2844">
      <c r="A2844" s="3">
        <v>44482.0</v>
      </c>
      <c r="B2844" s="6">
        <v>0.13694424115301632</v>
      </c>
    </row>
    <row r="2845">
      <c r="A2845" s="3">
        <v>44483.0</v>
      </c>
      <c r="B2845" s="6">
        <v>0.13694424115301632</v>
      </c>
    </row>
    <row r="2846">
      <c r="A2846" s="3">
        <v>44484.0</v>
      </c>
      <c r="B2846" s="6">
        <v>0.13694424115301632</v>
      </c>
    </row>
    <row r="2847">
      <c r="A2847" s="3">
        <v>44485.0</v>
      </c>
      <c r="B2847" s="6">
        <v>0.13694424115301632</v>
      </c>
    </row>
    <row r="2848">
      <c r="A2848" s="3">
        <v>44486.0</v>
      </c>
      <c r="B2848" s="6">
        <v>0.13694424115301632</v>
      </c>
    </row>
    <row r="2849">
      <c r="A2849" s="3">
        <v>44487.0</v>
      </c>
      <c r="B2849" s="6">
        <v>0.13694424115301632</v>
      </c>
    </row>
    <row r="2850">
      <c r="A2850" s="3">
        <v>44488.0</v>
      </c>
      <c r="B2850" s="6">
        <v>0.13694424115301632</v>
      </c>
    </row>
    <row r="2851">
      <c r="A2851" s="3">
        <v>44489.0</v>
      </c>
      <c r="B2851" s="6">
        <v>0.13694424115301632</v>
      </c>
    </row>
    <row r="2852">
      <c r="A2852" s="3">
        <v>44490.0</v>
      </c>
      <c r="B2852" s="6">
        <v>0.13694424115301632</v>
      </c>
    </row>
    <row r="2853">
      <c r="A2853" s="3">
        <v>44491.0</v>
      </c>
      <c r="B2853" s="6">
        <v>0.13694424115301632</v>
      </c>
    </row>
    <row r="2854">
      <c r="A2854" s="3">
        <v>44492.0</v>
      </c>
      <c r="B2854" s="6">
        <v>0.13694424115301632</v>
      </c>
    </row>
    <row r="2855">
      <c r="A2855" s="3">
        <v>44493.0</v>
      </c>
      <c r="B2855" s="6">
        <v>0.13694424115301632</v>
      </c>
    </row>
    <row r="2856">
      <c r="A2856" s="3">
        <v>44494.0</v>
      </c>
      <c r="B2856" s="6">
        <v>0.13694424115301632</v>
      </c>
    </row>
    <row r="2857">
      <c r="A2857" s="3">
        <v>44495.0</v>
      </c>
      <c r="B2857" s="6">
        <v>0.13694424115301632</v>
      </c>
    </row>
    <row r="2858">
      <c r="A2858" s="3">
        <v>44496.0</v>
      </c>
      <c r="B2858" s="6">
        <v>0.13694424115301632</v>
      </c>
    </row>
    <row r="2859">
      <c r="A2859" s="3">
        <v>44497.0</v>
      </c>
      <c r="B2859" s="6">
        <v>0.13694424115301632</v>
      </c>
    </row>
    <row r="2860">
      <c r="A2860" s="3">
        <v>44498.0</v>
      </c>
      <c r="B2860" s="6">
        <v>0.13694424115301632</v>
      </c>
    </row>
    <row r="2861">
      <c r="A2861" s="3">
        <v>44499.0</v>
      </c>
      <c r="B2861" s="6">
        <v>0.13694424115301632</v>
      </c>
    </row>
    <row r="2862">
      <c r="A2862" s="3">
        <v>44500.0</v>
      </c>
      <c r="B2862" s="6">
        <v>0.13694424115301632</v>
      </c>
    </row>
    <row r="2863">
      <c r="A2863" s="3">
        <v>44501.0</v>
      </c>
      <c r="B2863" s="6">
        <v>0.13694424115301632</v>
      </c>
    </row>
    <row r="2864">
      <c r="A2864" s="3">
        <v>44502.0</v>
      </c>
      <c r="B2864" s="6">
        <v>0.13694424115301632</v>
      </c>
    </row>
    <row r="2865">
      <c r="A2865" s="3">
        <v>44503.0</v>
      </c>
      <c r="B2865" s="6">
        <v>0.13694424115301632</v>
      </c>
    </row>
    <row r="2866">
      <c r="A2866" s="3">
        <v>44504.0</v>
      </c>
      <c r="B2866" s="6">
        <v>0.13694424115301632</v>
      </c>
    </row>
    <row r="2867">
      <c r="A2867" s="3">
        <v>44505.0</v>
      </c>
      <c r="B2867" s="6">
        <v>0.13694424115301632</v>
      </c>
    </row>
    <row r="2868">
      <c r="A2868" s="3">
        <v>44506.0</v>
      </c>
      <c r="B2868" s="6">
        <v>0.13694424115301632</v>
      </c>
    </row>
    <row r="2869">
      <c r="A2869" s="3">
        <v>44507.0</v>
      </c>
      <c r="B2869" s="6">
        <v>0.13694424115301632</v>
      </c>
    </row>
    <row r="2870">
      <c r="A2870" s="3">
        <v>44508.0</v>
      </c>
      <c r="B2870" s="6">
        <v>0.13694424115301632</v>
      </c>
    </row>
    <row r="2871">
      <c r="A2871" s="3">
        <v>44509.0</v>
      </c>
      <c r="B2871" s="6">
        <v>0.13694424115301632</v>
      </c>
    </row>
    <row r="2872">
      <c r="A2872" s="3">
        <v>44510.0</v>
      </c>
      <c r="B2872" s="6">
        <v>0.13694424115301632</v>
      </c>
    </row>
    <row r="2873">
      <c r="A2873" s="3">
        <v>44511.0</v>
      </c>
      <c r="B2873" s="6">
        <v>0.13694424115301632</v>
      </c>
    </row>
    <row r="2874">
      <c r="A2874" s="3">
        <v>44512.0</v>
      </c>
      <c r="B2874" s="6">
        <v>0.13694424115301632</v>
      </c>
    </row>
    <row r="2875">
      <c r="A2875" s="3">
        <v>44513.0</v>
      </c>
      <c r="B2875" s="6">
        <v>0.13694424115301632</v>
      </c>
    </row>
    <row r="2876">
      <c r="A2876" s="3">
        <v>44514.0</v>
      </c>
      <c r="B2876" s="6">
        <v>0.13694424115301632</v>
      </c>
    </row>
    <row r="2877">
      <c r="A2877" s="3">
        <v>44515.0</v>
      </c>
      <c r="B2877" s="6">
        <v>0.13694424115301632</v>
      </c>
    </row>
    <row r="2878">
      <c r="A2878" s="3">
        <v>44516.0</v>
      </c>
      <c r="B2878" s="6">
        <v>0.13694424115301632</v>
      </c>
    </row>
    <row r="2879">
      <c r="A2879" s="3">
        <v>44517.0</v>
      </c>
      <c r="B2879" s="6">
        <v>0.13694424115301632</v>
      </c>
    </row>
    <row r="2880">
      <c r="A2880" s="3">
        <v>44518.0</v>
      </c>
      <c r="B2880" s="6">
        <v>0.13694424115301632</v>
      </c>
    </row>
    <row r="2881">
      <c r="A2881" s="3">
        <v>44519.0</v>
      </c>
      <c r="B2881" s="6">
        <v>0.13694424115301632</v>
      </c>
    </row>
    <row r="2882">
      <c r="A2882" s="3">
        <v>44520.0</v>
      </c>
      <c r="B2882" s="6">
        <v>0.13694424115301632</v>
      </c>
    </row>
    <row r="2883">
      <c r="A2883" s="3">
        <v>44521.0</v>
      </c>
      <c r="B2883" s="6">
        <v>0.13694424115301632</v>
      </c>
    </row>
    <row r="2884">
      <c r="A2884" s="3">
        <v>44522.0</v>
      </c>
      <c r="B2884" s="6">
        <v>0.13694424115301632</v>
      </c>
    </row>
    <row r="2885">
      <c r="A2885" s="3">
        <v>44523.0</v>
      </c>
      <c r="B2885" s="6">
        <v>0.13694424115301632</v>
      </c>
    </row>
    <row r="2886">
      <c r="A2886" s="3">
        <v>44524.0</v>
      </c>
      <c r="B2886" s="6">
        <v>0.13694424115301632</v>
      </c>
    </row>
    <row r="2887">
      <c r="A2887" s="3">
        <v>44525.0</v>
      </c>
      <c r="B2887" s="6">
        <v>0.13694424115301632</v>
      </c>
    </row>
    <row r="2888">
      <c r="A2888" s="3">
        <v>44526.0</v>
      </c>
      <c r="B2888" s="6">
        <v>0.13694424115301632</v>
      </c>
    </row>
    <row r="2889">
      <c r="A2889" s="3">
        <v>44527.0</v>
      </c>
      <c r="B2889" s="6">
        <v>0.13694424115301632</v>
      </c>
    </row>
    <row r="2890">
      <c r="A2890" s="3">
        <v>44528.0</v>
      </c>
      <c r="B2890" s="6">
        <v>0.13694424115301632</v>
      </c>
    </row>
    <row r="2891">
      <c r="A2891" s="3">
        <v>44529.0</v>
      </c>
      <c r="B2891" s="6">
        <v>0.13694424115301632</v>
      </c>
    </row>
    <row r="2892">
      <c r="A2892" s="3">
        <v>44530.0</v>
      </c>
      <c r="B2892" s="6">
        <v>0.13694424115301632</v>
      </c>
    </row>
    <row r="2893">
      <c r="A2893" s="3">
        <v>44531.0</v>
      </c>
      <c r="B2893" s="6">
        <v>0.13694424115301632</v>
      </c>
    </row>
    <row r="2894">
      <c r="A2894" s="3">
        <v>44532.0</v>
      </c>
      <c r="B2894" s="6">
        <v>0.13694424115301632</v>
      </c>
    </row>
    <row r="2895">
      <c r="A2895" s="3">
        <v>44533.0</v>
      </c>
      <c r="B2895" s="6">
        <v>0.13694424115301632</v>
      </c>
    </row>
    <row r="2896">
      <c r="A2896" s="3">
        <v>44534.0</v>
      </c>
      <c r="B2896" s="6">
        <v>0.13694424115301632</v>
      </c>
    </row>
    <row r="2897">
      <c r="A2897" s="3">
        <v>44535.0</v>
      </c>
      <c r="B2897" s="6">
        <v>0.13694424115301632</v>
      </c>
    </row>
    <row r="2898">
      <c r="A2898" s="3">
        <v>44536.0</v>
      </c>
      <c r="B2898" s="6">
        <v>0.13694424115301632</v>
      </c>
    </row>
    <row r="2899">
      <c r="A2899" s="3">
        <v>44537.0</v>
      </c>
      <c r="B2899" s="6">
        <v>0.13694424115301632</v>
      </c>
    </row>
    <row r="2900">
      <c r="A2900" s="3">
        <v>44538.0</v>
      </c>
      <c r="B2900" s="6">
        <v>0.13694424115301632</v>
      </c>
    </row>
    <row r="2901">
      <c r="A2901" s="3">
        <v>44539.0</v>
      </c>
      <c r="B2901" s="6">
        <v>0.13694424115301632</v>
      </c>
    </row>
    <row r="2902">
      <c r="A2902" s="3">
        <v>44540.0</v>
      </c>
      <c r="B2902" s="6">
        <v>0.13694424115301632</v>
      </c>
    </row>
    <row r="2903">
      <c r="A2903" s="3">
        <v>44541.0</v>
      </c>
      <c r="B2903" s="6">
        <v>0.13694424115301632</v>
      </c>
    </row>
    <row r="2904">
      <c r="A2904" s="3">
        <v>44542.0</v>
      </c>
      <c r="B2904" s="6">
        <v>0.13694424115301632</v>
      </c>
    </row>
    <row r="2905">
      <c r="A2905" s="3">
        <v>44543.0</v>
      </c>
      <c r="B2905" s="6">
        <v>0.13694424115301632</v>
      </c>
    </row>
    <row r="2906">
      <c r="A2906" s="3">
        <v>44544.0</v>
      </c>
      <c r="B2906" s="6">
        <v>0.13694424115301632</v>
      </c>
    </row>
    <row r="2907">
      <c r="A2907" s="3">
        <v>44545.0</v>
      </c>
      <c r="B2907" s="6">
        <v>0.13694424115301632</v>
      </c>
    </row>
    <row r="2908">
      <c r="A2908" s="3">
        <v>44546.0</v>
      </c>
      <c r="B2908" s="6">
        <v>0.13694424115301632</v>
      </c>
    </row>
    <row r="2909">
      <c r="A2909" s="3">
        <v>44547.0</v>
      </c>
      <c r="B2909" s="6">
        <v>0.13694424115301632</v>
      </c>
    </row>
    <row r="2910">
      <c r="A2910" s="3">
        <v>44548.0</v>
      </c>
      <c r="B2910" s="6">
        <v>0.13694424115301632</v>
      </c>
    </row>
    <row r="2911">
      <c r="A2911" s="3">
        <v>44549.0</v>
      </c>
      <c r="B2911" s="6">
        <v>0.13694424115301632</v>
      </c>
    </row>
    <row r="2912">
      <c r="A2912" s="3">
        <v>44550.0</v>
      </c>
      <c r="B2912" s="6">
        <v>0.13694424115301632</v>
      </c>
    </row>
    <row r="2913">
      <c r="A2913" s="3">
        <v>44551.0</v>
      </c>
      <c r="B2913" s="6">
        <v>0.13694424115301632</v>
      </c>
    </row>
    <row r="2914">
      <c r="A2914" s="3">
        <v>44552.0</v>
      </c>
      <c r="B2914" s="6">
        <v>0.13694424115301632</v>
      </c>
    </row>
    <row r="2915">
      <c r="A2915" s="3">
        <v>44553.0</v>
      </c>
      <c r="B2915" s="6">
        <v>0.13694424115301632</v>
      </c>
    </row>
    <row r="2916">
      <c r="A2916" s="3">
        <v>44554.0</v>
      </c>
      <c r="B2916" s="6">
        <v>0.13694424115301632</v>
      </c>
    </row>
    <row r="2917">
      <c r="A2917" s="3">
        <v>44555.0</v>
      </c>
      <c r="B2917" s="6">
        <v>0.13694424115301632</v>
      </c>
    </row>
    <row r="2918">
      <c r="A2918" s="3">
        <v>44556.0</v>
      </c>
      <c r="B2918" s="6">
        <v>0.13694424115301632</v>
      </c>
    </row>
    <row r="2919">
      <c r="A2919" s="3">
        <v>44557.0</v>
      </c>
      <c r="B2919" s="6">
        <v>0.13694424115301632</v>
      </c>
    </row>
    <row r="2920">
      <c r="A2920" s="3">
        <v>44558.0</v>
      </c>
      <c r="B2920" s="6">
        <v>0.13694424115301632</v>
      </c>
    </row>
    <row r="2921">
      <c r="A2921" s="3">
        <v>44559.0</v>
      </c>
      <c r="B2921" s="6">
        <v>0.13694424115301632</v>
      </c>
    </row>
    <row r="2922">
      <c r="A2922" s="3">
        <v>44560.0</v>
      </c>
      <c r="B2922" s="6">
        <v>0.13694424115301632</v>
      </c>
    </row>
    <row r="2923">
      <c r="A2923" s="3">
        <v>44561.0</v>
      </c>
      <c r="B2923" s="6">
        <v>0.13694424115301632</v>
      </c>
    </row>
    <row r="2924">
      <c r="A2924" s="3">
        <v>44562.0</v>
      </c>
      <c r="B2924" s="6">
        <v>0.12923305059156864</v>
      </c>
    </row>
    <row r="2925">
      <c r="A2925" s="3">
        <v>44563.0</v>
      </c>
      <c r="B2925" s="6">
        <v>0.12923305059156864</v>
      </c>
    </row>
    <row r="2926">
      <c r="A2926" s="3">
        <v>44564.0</v>
      </c>
      <c r="B2926" s="6">
        <v>0.12923305059156864</v>
      </c>
    </row>
    <row r="2927">
      <c r="A2927" s="3">
        <v>44565.0</v>
      </c>
      <c r="B2927" s="6">
        <v>0.12923305059156864</v>
      </c>
    </row>
    <row r="2928">
      <c r="A2928" s="3">
        <v>44566.0</v>
      </c>
      <c r="B2928" s="6">
        <v>0.12923305059156864</v>
      </c>
    </row>
    <row r="2929">
      <c r="A2929" s="3">
        <v>44567.0</v>
      </c>
      <c r="B2929" s="6">
        <v>0.12923305059156864</v>
      </c>
    </row>
    <row r="2930">
      <c r="A2930" s="3">
        <v>44568.0</v>
      </c>
      <c r="B2930" s="6">
        <v>0.12923305059156864</v>
      </c>
    </row>
    <row r="2931">
      <c r="A2931" s="3">
        <v>44569.0</v>
      </c>
      <c r="B2931" s="6">
        <v>0.12923305059156864</v>
      </c>
    </row>
    <row r="2932">
      <c r="A2932" s="3">
        <v>44570.0</v>
      </c>
      <c r="B2932" s="6">
        <v>0.12923305059156864</v>
      </c>
    </row>
    <row r="2933">
      <c r="A2933" s="3">
        <v>44571.0</v>
      </c>
      <c r="B2933" s="6">
        <v>0.12923305059156864</v>
      </c>
    </row>
    <row r="2934">
      <c r="A2934" s="3">
        <v>44572.0</v>
      </c>
      <c r="B2934" s="6">
        <v>0.12923305059156864</v>
      </c>
    </row>
    <row r="2935">
      <c r="A2935" s="3">
        <v>44573.0</v>
      </c>
      <c r="B2935" s="6">
        <v>0.12923305059156864</v>
      </c>
    </row>
    <row r="2936">
      <c r="A2936" s="3">
        <v>44574.0</v>
      </c>
      <c r="B2936" s="6">
        <v>0.12923305059156864</v>
      </c>
    </row>
    <row r="2937">
      <c r="A2937" s="3">
        <v>44575.0</v>
      </c>
      <c r="B2937" s="6">
        <v>0.12923305059156864</v>
      </c>
    </row>
    <row r="2938">
      <c r="A2938" s="3">
        <v>44576.0</v>
      </c>
      <c r="B2938" s="6">
        <v>0.12923305059156864</v>
      </c>
    </row>
    <row r="2939">
      <c r="A2939" s="3">
        <v>44577.0</v>
      </c>
      <c r="B2939" s="6">
        <v>0.12923305059156864</v>
      </c>
    </row>
    <row r="2940">
      <c r="A2940" s="3">
        <v>44578.0</v>
      </c>
      <c r="B2940" s="6">
        <v>0.12923305059156864</v>
      </c>
    </row>
    <row r="2941">
      <c r="A2941" s="3">
        <v>44579.0</v>
      </c>
      <c r="B2941" s="6">
        <v>0.12923305059156864</v>
      </c>
    </row>
    <row r="2942">
      <c r="A2942" s="3">
        <v>44580.0</v>
      </c>
      <c r="B2942" s="6">
        <v>0.12923305059156864</v>
      </c>
    </row>
    <row r="2943">
      <c r="A2943" s="3">
        <v>44581.0</v>
      </c>
      <c r="B2943" s="6">
        <v>0.12923305059156864</v>
      </c>
    </row>
    <row r="2944">
      <c r="A2944" s="3">
        <v>44582.0</v>
      </c>
      <c r="B2944" s="6">
        <v>0.12923305059156864</v>
      </c>
    </row>
    <row r="2945">
      <c r="A2945" s="3">
        <v>44583.0</v>
      </c>
      <c r="B2945" s="6">
        <v>0.12923305059156864</v>
      </c>
    </row>
    <row r="2946">
      <c r="A2946" s="3">
        <v>44584.0</v>
      </c>
      <c r="B2946" s="6">
        <v>0.12923305059156864</v>
      </c>
    </row>
    <row r="2947">
      <c r="A2947" s="3">
        <v>44585.0</v>
      </c>
      <c r="B2947" s="6">
        <v>0.12923305059156864</v>
      </c>
    </row>
    <row r="2948">
      <c r="A2948" s="3">
        <v>44586.0</v>
      </c>
      <c r="B2948" s="6">
        <v>0.12923305059156864</v>
      </c>
    </row>
    <row r="2949">
      <c r="A2949" s="3">
        <v>44587.0</v>
      </c>
      <c r="B2949" s="6">
        <v>0.12923305059156864</v>
      </c>
    </row>
    <row r="2950">
      <c r="A2950" s="3">
        <v>44588.0</v>
      </c>
      <c r="B2950" s="6">
        <v>0.12923305059156864</v>
      </c>
    </row>
    <row r="2951">
      <c r="A2951" s="3">
        <v>44589.0</v>
      </c>
      <c r="B2951" s="6">
        <v>0.12923305059156864</v>
      </c>
    </row>
    <row r="2952">
      <c r="A2952" s="3">
        <v>44590.0</v>
      </c>
      <c r="B2952" s="6">
        <v>0.12923305059156864</v>
      </c>
    </row>
    <row r="2953">
      <c r="A2953" s="3">
        <v>44591.0</v>
      </c>
      <c r="B2953" s="6">
        <v>0.12923305059156864</v>
      </c>
    </row>
    <row r="2954">
      <c r="A2954" s="3">
        <v>44592.0</v>
      </c>
      <c r="B2954" s="6">
        <v>0.12923305059156864</v>
      </c>
    </row>
    <row r="2955">
      <c r="A2955" s="3">
        <v>44593.0</v>
      </c>
      <c r="B2955" s="6">
        <v>0.12923305059156864</v>
      </c>
    </row>
    <row r="2956">
      <c r="A2956" s="3">
        <v>44594.0</v>
      </c>
      <c r="B2956" s="6">
        <v>0.12923305059156864</v>
      </c>
    </row>
    <row r="2957">
      <c r="A2957" s="3">
        <v>44595.0</v>
      </c>
      <c r="B2957" s="6">
        <v>0.12923305059156864</v>
      </c>
    </row>
    <row r="2958">
      <c r="A2958" s="3">
        <v>44596.0</v>
      </c>
      <c r="B2958" s="6">
        <v>0.12923305059156864</v>
      </c>
    </row>
    <row r="2959">
      <c r="A2959" s="3">
        <v>44597.0</v>
      </c>
      <c r="B2959" s="6">
        <v>0.12923305059156864</v>
      </c>
    </row>
    <row r="2960">
      <c r="A2960" s="3">
        <v>44598.0</v>
      </c>
      <c r="B2960" s="6">
        <v>0.12923305059156864</v>
      </c>
    </row>
    <row r="2961">
      <c r="A2961" s="3">
        <v>44599.0</v>
      </c>
      <c r="B2961" s="6">
        <v>0.12923305059156864</v>
      </c>
    </row>
    <row r="2962">
      <c r="A2962" s="3">
        <v>44600.0</v>
      </c>
      <c r="B2962" s="6">
        <v>0.12923305059156864</v>
      </c>
    </row>
    <row r="2963">
      <c r="A2963" s="3">
        <v>44601.0</v>
      </c>
      <c r="B2963" s="6">
        <v>0.12923305059156864</v>
      </c>
    </row>
    <row r="2964">
      <c r="A2964" s="3">
        <v>44602.0</v>
      </c>
      <c r="B2964" s="6">
        <v>0.12923305059156864</v>
      </c>
    </row>
    <row r="2965">
      <c r="A2965" s="3">
        <v>44603.0</v>
      </c>
      <c r="B2965" s="6">
        <v>0.12923305059156864</v>
      </c>
    </row>
    <row r="2966">
      <c r="A2966" s="3">
        <v>44604.0</v>
      </c>
      <c r="B2966" s="6">
        <v>0.12923305059156864</v>
      </c>
    </row>
    <row r="2967">
      <c r="A2967" s="3">
        <v>44605.0</v>
      </c>
      <c r="B2967" s="6">
        <v>0.12923305059156864</v>
      </c>
    </row>
    <row r="2968">
      <c r="A2968" s="3">
        <v>44606.0</v>
      </c>
      <c r="B2968" s="6">
        <v>0.12923305059156864</v>
      </c>
    </row>
    <row r="2969">
      <c r="A2969" s="3">
        <v>44607.0</v>
      </c>
      <c r="B2969" s="6">
        <v>0.12923305059156864</v>
      </c>
    </row>
    <row r="2970">
      <c r="A2970" s="3">
        <v>44608.0</v>
      </c>
      <c r="B2970" s="6">
        <v>0.12923305059156864</v>
      </c>
    </row>
    <row r="2971">
      <c r="A2971" s="3">
        <v>44609.0</v>
      </c>
      <c r="B2971" s="6">
        <v>0.12923305059156864</v>
      </c>
    </row>
    <row r="2972">
      <c r="A2972" s="3">
        <v>44610.0</v>
      </c>
      <c r="B2972" s="6">
        <v>0.12923305059156864</v>
      </c>
    </row>
    <row r="2973">
      <c r="A2973" s="3">
        <v>44611.0</v>
      </c>
      <c r="B2973" s="6">
        <v>0.12923305059156864</v>
      </c>
    </row>
    <row r="2974">
      <c r="A2974" s="3">
        <v>44612.0</v>
      </c>
      <c r="B2974" s="6">
        <v>0.12923305059156864</v>
      </c>
    </row>
    <row r="2975">
      <c r="A2975" s="3">
        <v>44613.0</v>
      </c>
      <c r="B2975" s="6">
        <v>0.12923305059156864</v>
      </c>
    </row>
    <row r="2976">
      <c r="A2976" s="3">
        <v>44614.0</v>
      </c>
      <c r="B2976" s="6">
        <v>0.12923305059156864</v>
      </c>
    </row>
    <row r="2977">
      <c r="A2977" s="3">
        <v>44615.0</v>
      </c>
      <c r="B2977" s="6">
        <v>0.12923305059156864</v>
      </c>
    </row>
    <row r="2978">
      <c r="A2978" s="3">
        <v>44616.0</v>
      </c>
      <c r="B2978" s="6">
        <v>0.12923305059156864</v>
      </c>
    </row>
    <row r="2979">
      <c r="A2979" s="3">
        <v>44617.0</v>
      </c>
      <c r="B2979" s="6">
        <v>0.12923305059156864</v>
      </c>
    </row>
    <row r="2980">
      <c r="A2980" s="3">
        <v>44618.0</v>
      </c>
      <c r="B2980" s="6">
        <v>0.12923305059156864</v>
      </c>
    </row>
    <row r="2981">
      <c r="A2981" s="3">
        <v>44619.0</v>
      </c>
      <c r="B2981" s="6">
        <v>0.12923305059156864</v>
      </c>
    </row>
    <row r="2982">
      <c r="A2982" s="3">
        <v>44620.0</v>
      </c>
      <c r="B2982" s="6">
        <v>0.12923305059156864</v>
      </c>
    </row>
    <row r="2983">
      <c r="A2983" s="3">
        <v>44621.0</v>
      </c>
      <c r="B2983" s="6">
        <v>0.12923305059156864</v>
      </c>
    </row>
    <row r="2984">
      <c r="A2984" s="3">
        <v>44622.0</v>
      </c>
      <c r="B2984" s="6">
        <v>0.12923305059156864</v>
      </c>
    </row>
    <row r="2985">
      <c r="A2985" s="3">
        <v>44623.0</v>
      </c>
      <c r="B2985" s="6">
        <v>0.12923305059156864</v>
      </c>
    </row>
    <row r="2986">
      <c r="A2986" s="3">
        <v>44624.0</v>
      </c>
      <c r="B2986" s="6">
        <v>0.12923305059156864</v>
      </c>
    </row>
    <row r="2987">
      <c r="A2987" s="3">
        <v>44625.0</v>
      </c>
      <c r="B2987" s="6">
        <v>0.12923305059156864</v>
      </c>
    </row>
    <row r="2988">
      <c r="A2988" s="3">
        <v>44626.0</v>
      </c>
      <c r="B2988" s="6">
        <v>0.12923305059156864</v>
      </c>
    </row>
    <row r="2989">
      <c r="A2989" s="3">
        <v>44627.0</v>
      </c>
      <c r="B2989" s="6">
        <v>0.12923305059156864</v>
      </c>
    </row>
    <row r="2990">
      <c r="A2990" s="3">
        <v>44628.0</v>
      </c>
      <c r="B2990" s="6">
        <v>0.12923305059156864</v>
      </c>
    </row>
    <row r="2991">
      <c r="A2991" s="3">
        <v>44629.0</v>
      </c>
      <c r="B2991" s="6">
        <v>0.12923305059156864</v>
      </c>
    </row>
    <row r="2992">
      <c r="A2992" s="3">
        <v>44630.0</v>
      </c>
      <c r="B2992" s="6">
        <v>0.12923305059156864</v>
      </c>
    </row>
    <row r="2993">
      <c r="A2993" s="3">
        <v>44631.0</v>
      </c>
      <c r="B2993" s="6">
        <v>0.12923305059156864</v>
      </c>
    </row>
    <row r="2994">
      <c r="A2994" s="3">
        <v>44632.0</v>
      </c>
      <c r="B2994" s="6">
        <v>0.12923305059156864</v>
      </c>
    </row>
    <row r="2995">
      <c r="A2995" s="3">
        <v>44633.0</v>
      </c>
      <c r="B2995" s="6">
        <v>0.12923305059156864</v>
      </c>
    </row>
    <row r="2996">
      <c r="A2996" s="3">
        <v>44634.0</v>
      </c>
      <c r="B2996" s="6">
        <v>0.12923305059156864</v>
      </c>
    </row>
    <row r="2997">
      <c r="A2997" s="3">
        <v>44635.0</v>
      </c>
      <c r="B2997" s="6">
        <v>0.12923305059156864</v>
      </c>
    </row>
    <row r="2998">
      <c r="A2998" s="3">
        <v>44636.0</v>
      </c>
      <c r="B2998" s="6">
        <v>0.12923305059156864</v>
      </c>
    </row>
    <row r="2999">
      <c r="A2999" s="3">
        <v>44637.0</v>
      </c>
      <c r="B2999" s="6">
        <v>0.12923305059156864</v>
      </c>
    </row>
    <row r="3000">
      <c r="A3000" s="3">
        <v>44638.0</v>
      </c>
      <c r="B3000" s="6">
        <v>0.12923305059156864</v>
      </c>
    </row>
    <row r="3001">
      <c r="A3001" s="3">
        <v>44639.0</v>
      </c>
      <c r="B3001" s="6">
        <v>0.12923305059156864</v>
      </c>
    </row>
    <row r="3002">
      <c r="A3002" s="3">
        <v>44640.0</v>
      </c>
      <c r="B3002" s="6">
        <v>0.12923305059156864</v>
      </c>
    </row>
    <row r="3003">
      <c r="A3003" s="3">
        <v>44641.0</v>
      </c>
      <c r="B3003" s="6">
        <v>0.12923305059156864</v>
      </c>
    </row>
    <row r="3004">
      <c r="A3004" s="3">
        <v>44642.0</v>
      </c>
      <c r="B3004" s="6">
        <v>0.12923305059156864</v>
      </c>
    </row>
    <row r="3005">
      <c r="A3005" s="3">
        <v>44643.0</v>
      </c>
      <c r="B3005" s="6">
        <v>0.12923305059156864</v>
      </c>
    </row>
    <row r="3006">
      <c r="A3006" s="3">
        <v>44644.0</v>
      </c>
      <c r="B3006" s="6">
        <v>0.12923305059156864</v>
      </c>
    </row>
    <row r="3007">
      <c r="A3007" s="3">
        <v>44645.0</v>
      </c>
      <c r="B3007" s="6">
        <v>0.12923305059156864</v>
      </c>
    </row>
    <row r="3008">
      <c r="A3008" s="3">
        <v>44646.0</v>
      </c>
      <c r="B3008" s="6">
        <v>0.12923305059156864</v>
      </c>
    </row>
    <row r="3009">
      <c r="A3009" s="3">
        <v>44647.0</v>
      </c>
      <c r="B3009" s="6">
        <v>0.12923305059156864</v>
      </c>
    </row>
    <row r="3010">
      <c r="A3010" s="3">
        <v>44648.0</v>
      </c>
      <c r="B3010" s="6">
        <v>0.12923305059156864</v>
      </c>
    </row>
    <row r="3011">
      <c r="A3011" s="3">
        <v>44649.0</v>
      </c>
      <c r="B3011" s="6">
        <v>0.12923305059156864</v>
      </c>
    </row>
    <row r="3012">
      <c r="A3012" s="3">
        <v>44650.0</v>
      </c>
      <c r="B3012" s="6">
        <v>0.12923305059156864</v>
      </c>
    </row>
    <row r="3013">
      <c r="A3013" s="3">
        <v>44651.0</v>
      </c>
      <c r="B3013" s="6">
        <v>0.12923305059156864</v>
      </c>
    </row>
    <row r="3014">
      <c r="A3014" s="3">
        <v>44652.0</v>
      </c>
      <c r="B3014" s="6">
        <v>0.12923305059156864</v>
      </c>
    </row>
    <row r="3015">
      <c r="A3015" s="3">
        <v>44653.0</v>
      </c>
      <c r="B3015" s="6">
        <v>0.12923305059156864</v>
      </c>
    </row>
    <row r="3016">
      <c r="A3016" s="3">
        <v>44654.0</v>
      </c>
      <c r="B3016" s="6">
        <v>0.12923305059156864</v>
      </c>
    </row>
    <row r="3017">
      <c r="A3017" s="3">
        <v>44655.0</v>
      </c>
      <c r="B3017" s="6">
        <v>0.12923305059156864</v>
      </c>
    </row>
    <row r="3018">
      <c r="A3018" s="3">
        <v>44656.0</v>
      </c>
      <c r="B3018" s="6">
        <v>0.12923305059156864</v>
      </c>
    </row>
    <row r="3019">
      <c r="A3019" s="3">
        <v>44657.0</v>
      </c>
      <c r="B3019" s="6">
        <v>0.12923305059156864</v>
      </c>
    </row>
    <row r="3020">
      <c r="A3020" s="3">
        <v>44658.0</v>
      </c>
      <c r="B3020" s="6">
        <v>0.12923305059156864</v>
      </c>
    </row>
    <row r="3021">
      <c r="A3021" s="3">
        <v>44659.0</v>
      </c>
      <c r="B3021" s="6">
        <v>0.12923305059156864</v>
      </c>
    </row>
    <row r="3022">
      <c r="A3022" s="3">
        <v>44660.0</v>
      </c>
      <c r="B3022" s="6">
        <v>0.12923305059156864</v>
      </c>
    </row>
    <row r="3023">
      <c r="A3023" s="3">
        <v>44661.0</v>
      </c>
      <c r="B3023" s="6">
        <v>0.12923305059156864</v>
      </c>
    </row>
    <row r="3024">
      <c r="A3024" s="3">
        <v>44662.0</v>
      </c>
      <c r="B3024" s="6">
        <v>0.12923305059156864</v>
      </c>
    </row>
    <row r="3025">
      <c r="A3025" s="3">
        <v>44663.0</v>
      </c>
      <c r="B3025" s="6">
        <v>0.12923305059156864</v>
      </c>
    </row>
    <row r="3026">
      <c r="A3026" s="3">
        <v>44664.0</v>
      </c>
      <c r="B3026" s="6">
        <v>0.12923305059156864</v>
      </c>
    </row>
    <row r="3027">
      <c r="A3027" s="3">
        <v>44665.0</v>
      </c>
      <c r="B3027" s="6">
        <v>0.12923305059156864</v>
      </c>
    </row>
    <row r="3028">
      <c r="A3028" s="3">
        <v>44666.0</v>
      </c>
      <c r="B3028" s="6">
        <v>0.12923305059156864</v>
      </c>
    </row>
    <row r="3029">
      <c r="A3029" s="3">
        <v>44667.0</v>
      </c>
      <c r="B3029" s="6">
        <v>0.12923305059156864</v>
      </c>
    </row>
    <row r="3030">
      <c r="A3030" s="3">
        <v>44668.0</v>
      </c>
      <c r="B3030" s="6">
        <v>0.12923305059156864</v>
      </c>
    </row>
    <row r="3031">
      <c r="A3031" s="3">
        <v>44669.0</v>
      </c>
      <c r="B3031" s="6">
        <v>0.12923305059156864</v>
      </c>
    </row>
    <row r="3032">
      <c r="A3032" s="3">
        <v>44670.0</v>
      </c>
      <c r="B3032" s="6">
        <v>0.12923305059156864</v>
      </c>
    </row>
    <row r="3033">
      <c r="A3033" s="3">
        <v>44671.0</v>
      </c>
      <c r="B3033" s="6">
        <v>0.12923305059156864</v>
      </c>
    </row>
    <row r="3034">
      <c r="A3034" s="3">
        <v>44672.0</v>
      </c>
      <c r="B3034" s="6">
        <v>0.12923305059156864</v>
      </c>
    </row>
    <row r="3035">
      <c r="A3035" s="3">
        <v>44673.0</v>
      </c>
      <c r="B3035" s="6">
        <v>0.12923305059156864</v>
      </c>
    </row>
    <row r="3036">
      <c r="A3036" s="3">
        <v>44674.0</v>
      </c>
      <c r="B3036" s="6">
        <v>0.12923305059156864</v>
      </c>
    </row>
    <row r="3037">
      <c r="A3037" s="3">
        <v>44675.0</v>
      </c>
      <c r="B3037" s="6">
        <v>0.12923305059156864</v>
      </c>
    </row>
    <row r="3038">
      <c r="A3038" s="3">
        <v>44676.0</v>
      </c>
      <c r="B3038" s="6">
        <v>0.12923305059156864</v>
      </c>
    </row>
    <row r="3039">
      <c r="A3039" s="3">
        <v>44677.0</v>
      </c>
      <c r="B3039" s="6">
        <v>0.12923305059156864</v>
      </c>
    </row>
    <row r="3040">
      <c r="A3040" s="3">
        <v>44678.0</v>
      </c>
      <c r="B3040" s="6">
        <v>0.12923305059156864</v>
      </c>
    </row>
    <row r="3041">
      <c r="A3041" s="3">
        <v>44679.0</v>
      </c>
      <c r="B3041" s="6">
        <v>0.12923305059156864</v>
      </c>
    </row>
    <row r="3042">
      <c r="A3042" s="3">
        <v>44680.0</v>
      </c>
      <c r="B3042" s="6">
        <v>0.12923305059156864</v>
      </c>
    </row>
    <row r="3043">
      <c r="A3043" s="3">
        <v>44681.0</v>
      </c>
      <c r="B3043" s="6">
        <v>0.12923305059156864</v>
      </c>
    </row>
    <row r="3044">
      <c r="A3044" s="3">
        <v>44682.0</v>
      </c>
      <c r="B3044" s="6">
        <v>0.12923305059156864</v>
      </c>
    </row>
    <row r="3045">
      <c r="A3045" s="3">
        <v>44683.0</v>
      </c>
      <c r="B3045" s="6">
        <v>0.12923305059156864</v>
      </c>
    </row>
    <row r="3046">
      <c r="A3046" s="3">
        <v>44684.0</v>
      </c>
      <c r="B3046" s="6">
        <v>0.12923305059156864</v>
      </c>
    </row>
    <row r="3047">
      <c r="A3047" s="3">
        <v>44685.0</v>
      </c>
      <c r="B3047" s="6">
        <v>0.12923305059156864</v>
      </c>
    </row>
    <row r="3048">
      <c r="A3048" s="3">
        <v>44686.0</v>
      </c>
      <c r="B3048" s="6">
        <v>0.12923305059156864</v>
      </c>
    </row>
    <row r="3049">
      <c r="A3049" s="3">
        <v>44687.0</v>
      </c>
      <c r="B3049" s="6">
        <v>0.12923305059156864</v>
      </c>
    </row>
    <row r="3050">
      <c r="A3050" s="3">
        <v>44688.0</v>
      </c>
      <c r="B3050" s="6">
        <v>0.12923305059156864</v>
      </c>
    </row>
    <row r="3051">
      <c r="A3051" s="3">
        <v>44689.0</v>
      </c>
      <c r="B3051" s="6">
        <v>0.12923305059156864</v>
      </c>
    </row>
    <row r="3052">
      <c r="A3052" s="3">
        <v>44690.0</v>
      </c>
      <c r="B3052" s="6">
        <v>0.12923305059156864</v>
      </c>
    </row>
    <row r="3053">
      <c r="A3053" s="3">
        <v>44691.0</v>
      </c>
      <c r="B3053" s="6">
        <v>0.12923305059156864</v>
      </c>
    </row>
    <row r="3054">
      <c r="A3054" s="3">
        <v>44692.0</v>
      </c>
      <c r="B3054" s="6">
        <v>0.12923305059156864</v>
      </c>
    </row>
    <row r="3055">
      <c r="A3055" s="3">
        <v>44693.0</v>
      </c>
      <c r="B3055" s="6">
        <v>0.12923305059156864</v>
      </c>
    </row>
    <row r="3056">
      <c r="A3056" s="3">
        <v>44694.0</v>
      </c>
      <c r="B3056" s="6">
        <v>0.12923305059156864</v>
      </c>
    </row>
    <row r="3057">
      <c r="A3057" s="3">
        <v>44695.0</v>
      </c>
      <c r="B3057" s="6">
        <v>0.12923305059156864</v>
      </c>
    </row>
    <row r="3058">
      <c r="A3058" s="3">
        <v>44696.0</v>
      </c>
      <c r="B3058" s="6">
        <v>0.12923305059156864</v>
      </c>
    </row>
    <row r="3059">
      <c r="A3059" s="3">
        <v>44697.0</v>
      </c>
      <c r="B3059" s="6">
        <v>0.12923305059156864</v>
      </c>
    </row>
    <row r="3060">
      <c r="A3060" s="3">
        <v>44698.0</v>
      </c>
      <c r="B3060" s="6">
        <v>0.12923305059156864</v>
      </c>
    </row>
    <row r="3061">
      <c r="A3061" s="3">
        <v>44699.0</v>
      </c>
      <c r="B3061" s="6">
        <v>0.12923305059156864</v>
      </c>
    </row>
    <row r="3062">
      <c r="A3062" s="3">
        <v>44700.0</v>
      </c>
      <c r="B3062" s="6">
        <v>0.12923305059156864</v>
      </c>
    </row>
    <row r="3063">
      <c r="A3063" s="3">
        <v>44701.0</v>
      </c>
      <c r="B3063" s="6">
        <v>0.12923305059156864</v>
      </c>
    </row>
    <row r="3064">
      <c r="A3064" s="3">
        <v>44702.0</v>
      </c>
      <c r="B3064" s="6">
        <v>0.12923305059156864</v>
      </c>
    </row>
    <row r="3065">
      <c r="A3065" s="3">
        <v>44703.0</v>
      </c>
      <c r="B3065" s="6">
        <v>0.12923305059156864</v>
      </c>
    </row>
    <row r="3066">
      <c r="A3066" s="3">
        <v>44704.0</v>
      </c>
      <c r="B3066" s="6">
        <v>0.12923305059156864</v>
      </c>
    </row>
    <row r="3067">
      <c r="A3067" s="3">
        <v>44705.0</v>
      </c>
      <c r="B3067" s="6">
        <v>0.12923305059156864</v>
      </c>
    </row>
    <row r="3068">
      <c r="A3068" s="3">
        <v>44706.0</v>
      </c>
      <c r="B3068" s="6">
        <v>0.12923305059156864</v>
      </c>
    </row>
    <row r="3069">
      <c r="A3069" s="3">
        <v>44707.0</v>
      </c>
      <c r="B3069" s="6">
        <v>0.12923305059156864</v>
      </c>
    </row>
    <row r="3070">
      <c r="A3070" s="3">
        <v>44708.0</v>
      </c>
      <c r="B3070" s="6">
        <v>0.12923305059156864</v>
      </c>
    </row>
    <row r="3071">
      <c r="A3071" s="3">
        <v>44709.0</v>
      </c>
      <c r="B3071" s="6">
        <v>0.12923305059156864</v>
      </c>
    </row>
    <row r="3072">
      <c r="A3072" s="3">
        <v>44710.0</v>
      </c>
      <c r="B3072" s="6">
        <v>0.12923305059156864</v>
      </c>
    </row>
    <row r="3073">
      <c r="A3073" s="3">
        <v>44711.0</v>
      </c>
      <c r="B3073" s="6">
        <v>0.12923305059156864</v>
      </c>
    </row>
    <row r="3074">
      <c r="A3074" s="3">
        <v>44712.0</v>
      </c>
      <c r="B3074" s="6">
        <v>0.12923305059156864</v>
      </c>
    </row>
    <row r="3075">
      <c r="A3075" s="3">
        <v>44713.0</v>
      </c>
      <c r="B3075" s="6">
        <v>0.12923305059156864</v>
      </c>
    </row>
    <row r="3076">
      <c r="A3076" s="3">
        <v>44714.0</v>
      </c>
      <c r="B3076" s="6">
        <v>0.12923305059156864</v>
      </c>
    </row>
    <row r="3077">
      <c r="A3077" s="3">
        <v>44715.0</v>
      </c>
      <c r="B3077" s="6">
        <v>0.12923305059156864</v>
      </c>
    </row>
    <row r="3078">
      <c r="A3078" s="3">
        <v>44716.0</v>
      </c>
      <c r="B3078" s="6">
        <v>0.12923305059156864</v>
      </c>
    </row>
    <row r="3079">
      <c r="A3079" s="3">
        <v>44717.0</v>
      </c>
      <c r="B3079" s="6">
        <v>0.12923305059156864</v>
      </c>
    </row>
    <row r="3080">
      <c r="A3080" s="3">
        <v>44718.0</v>
      </c>
      <c r="B3080" s="6">
        <v>0.12923305059156864</v>
      </c>
    </row>
    <row r="3081">
      <c r="A3081" s="3">
        <v>44719.0</v>
      </c>
      <c r="B3081" s="6">
        <v>0.12923305059156864</v>
      </c>
    </row>
    <row r="3082">
      <c r="A3082" s="3">
        <v>44720.0</v>
      </c>
      <c r="B3082" s="6">
        <v>0.12923305059156864</v>
      </c>
    </row>
    <row r="3083">
      <c r="A3083" s="3">
        <v>44721.0</v>
      </c>
      <c r="B3083" s="6">
        <v>0.12923305059156864</v>
      </c>
    </row>
    <row r="3084">
      <c r="A3084" s="3">
        <v>44722.0</v>
      </c>
      <c r="B3084" s="6">
        <v>0.12923305059156864</v>
      </c>
    </row>
    <row r="3085">
      <c r="A3085" s="3">
        <v>44723.0</v>
      </c>
      <c r="B3085" s="6">
        <v>0.12923305059156864</v>
      </c>
    </row>
    <row r="3086">
      <c r="A3086" s="3">
        <v>44724.0</v>
      </c>
      <c r="B3086" s="6">
        <v>0.12923305059156864</v>
      </c>
    </row>
    <row r="3087">
      <c r="A3087" s="3">
        <v>44725.0</v>
      </c>
      <c r="B3087" s="6">
        <v>0.12923305059156864</v>
      </c>
    </row>
    <row r="3088">
      <c r="A3088" s="3">
        <v>44726.0</v>
      </c>
      <c r="B3088" s="6">
        <v>0.12923305059156864</v>
      </c>
    </row>
    <row r="3089">
      <c r="A3089" s="3">
        <v>44727.0</v>
      </c>
      <c r="B3089" s="6">
        <v>0.12923305059156864</v>
      </c>
    </row>
    <row r="3090">
      <c r="A3090" s="3">
        <v>44728.0</v>
      </c>
      <c r="B3090" s="6">
        <v>0.12923305059156864</v>
      </c>
    </row>
    <row r="3091">
      <c r="A3091" s="3">
        <v>44729.0</v>
      </c>
      <c r="B3091" s="6">
        <v>0.12923305059156864</v>
      </c>
    </row>
    <row r="3092">
      <c r="A3092" s="3">
        <v>44730.0</v>
      </c>
      <c r="B3092" s="6">
        <v>0.12923305059156864</v>
      </c>
    </row>
    <row r="3093">
      <c r="A3093" s="3">
        <v>44731.0</v>
      </c>
      <c r="B3093" s="6">
        <v>0.12923305059156864</v>
      </c>
    </row>
    <row r="3094">
      <c r="A3094" s="3">
        <v>44732.0</v>
      </c>
      <c r="B3094" s="6">
        <v>0.12923305059156864</v>
      </c>
    </row>
    <row r="3095">
      <c r="A3095" s="3">
        <v>44733.0</v>
      </c>
      <c r="B3095" s="6">
        <v>0.12923305059156864</v>
      </c>
    </row>
    <row r="3096">
      <c r="A3096" s="3">
        <v>44734.0</v>
      </c>
      <c r="B3096" s="6">
        <v>0.12923305059156864</v>
      </c>
    </row>
    <row r="3097">
      <c r="A3097" s="3">
        <v>44735.0</v>
      </c>
      <c r="B3097" s="6">
        <v>0.12923305059156864</v>
      </c>
    </row>
    <row r="3098">
      <c r="A3098" s="3">
        <v>44736.0</v>
      </c>
      <c r="B3098" s="6">
        <v>0.12923305059156864</v>
      </c>
    </row>
    <row r="3099">
      <c r="A3099" s="3">
        <v>44737.0</v>
      </c>
      <c r="B3099" s="6">
        <v>0.12923305059156864</v>
      </c>
    </row>
    <row r="3100">
      <c r="A3100" s="3">
        <v>44738.0</v>
      </c>
      <c r="B3100" s="6">
        <v>0.12923305059156864</v>
      </c>
    </row>
    <row r="3101">
      <c r="A3101" s="3">
        <v>44739.0</v>
      </c>
      <c r="B3101" s="6">
        <v>0.12923305059156864</v>
      </c>
    </row>
    <row r="3102">
      <c r="A3102" s="3">
        <v>44740.0</v>
      </c>
      <c r="B3102" s="6">
        <v>0.12923305059156864</v>
      </c>
    </row>
    <row r="3103">
      <c r="A3103" s="3">
        <v>44741.0</v>
      </c>
      <c r="B3103" s="6">
        <v>0.12923305059156864</v>
      </c>
    </row>
    <row r="3104">
      <c r="A3104" s="3">
        <v>44742.0</v>
      </c>
      <c r="B3104" s="6">
        <v>0.12923305059156864</v>
      </c>
    </row>
    <row r="3105">
      <c r="A3105" s="3">
        <v>44743.0</v>
      </c>
      <c r="B3105" s="6">
        <v>0.1505386447052326</v>
      </c>
    </row>
    <row r="3106">
      <c r="A3106" s="3">
        <v>44744.0</v>
      </c>
      <c r="B3106" s="6">
        <v>0.1505386447052326</v>
      </c>
    </row>
    <row r="3107">
      <c r="A3107" s="3">
        <v>44745.0</v>
      </c>
      <c r="B3107" s="6">
        <v>0.1505386447052326</v>
      </c>
    </row>
    <row r="3108">
      <c r="A3108" s="3">
        <v>44746.0</v>
      </c>
      <c r="B3108" s="6">
        <v>0.1505386447052326</v>
      </c>
    </row>
    <row r="3109">
      <c r="A3109" s="3">
        <v>44747.0</v>
      </c>
      <c r="B3109" s="6">
        <v>0.1505386447052326</v>
      </c>
    </row>
    <row r="3110">
      <c r="A3110" s="3">
        <v>44748.0</v>
      </c>
      <c r="B3110" s="6">
        <v>0.1505386447052326</v>
      </c>
    </row>
    <row r="3111">
      <c r="A3111" s="3">
        <v>44749.0</v>
      </c>
      <c r="B3111" s="6">
        <v>0.1505386447052326</v>
      </c>
    </row>
    <row r="3112">
      <c r="A3112" s="3">
        <v>44750.0</v>
      </c>
      <c r="B3112" s="6">
        <v>0.1505386447052326</v>
      </c>
    </row>
    <row r="3113">
      <c r="A3113" s="3">
        <v>44751.0</v>
      </c>
      <c r="B3113" s="6">
        <v>0.1505386447052326</v>
      </c>
    </row>
    <row r="3114">
      <c r="A3114" s="3">
        <v>44752.0</v>
      </c>
      <c r="B3114" s="6">
        <v>0.1505386447052326</v>
      </c>
    </row>
    <row r="3115">
      <c r="A3115" s="3">
        <v>44753.0</v>
      </c>
      <c r="B3115" s="6">
        <v>0.1505386447052326</v>
      </c>
    </row>
    <row r="3116">
      <c r="A3116" s="3">
        <v>44754.0</v>
      </c>
      <c r="B3116" s="6">
        <v>0.1505386447052326</v>
      </c>
    </row>
    <row r="3117">
      <c r="A3117" s="3">
        <v>44755.0</v>
      </c>
      <c r="B3117" s="6">
        <v>0.1505386447052326</v>
      </c>
    </row>
    <row r="3118">
      <c r="A3118" s="3">
        <v>44756.0</v>
      </c>
      <c r="B3118" s="6">
        <v>0.1505386447052326</v>
      </c>
    </row>
    <row r="3119">
      <c r="A3119" s="3">
        <v>44757.0</v>
      </c>
      <c r="B3119" s="6">
        <v>0.1505386447052326</v>
      </c>
    </row>
    <row r="3120">
      <c r="A3120" s="3">
        <v>44758.0</v>
      </c>
      <c r="B3120" s="6">
        <v>0.1505386447052326</v>
      </c>
    </row>
    <row r="3121">
      <c r="A3121" s="3">
        <v>44759.0</v>
      </c>
      <c r="B3121" s="6">
        <v>0.1505386447052326</v>
      </c>
    </row>
    <row r="3122">
      <c r="A3122" s="3">
        <v>44760.0</v>
      </c>
      <c r="B3122" s="6">
        <v>0.1505386447052326</v>
      </c>
    </row>
    <row r="3123">
      <c r="A3123" s="3">
        <v>44761.0</v>
      </c>
      <c r="B3123" s="6">
        <v>0.1505386447052326</v>
      </c>
    </row>
    <row r="3124">
      <c r="A3124" s="3">
        <v>44762.0</v>
      </c>
      <c r="B3124" s="6">
        <v>0.1505386447052326</v>
      </c>
    </row>
    <row r="3125">
      <c r="A3125" s="3">
        <v>44763.0</v>
      </c>
      <c r="B3125" s="6">
        <v>0.1505386447052326</v>
      </c>
    </row>
    <row r="3126">
      <c r="A3126" s="3">
        <v>44764.0</v>
      </c>
      <c r="B3126" s="6">
        <v>0.1505386447052326</v>
      </c>
    </row>
    <row r="3127">
      <c r="A3127" s="3">
        <v>44765.0</v>
      </c>
      <c r="B3127" s="6">
        <v>0.1505386447052326</v>
      </c>
    </row>
    <row r="3128">
      <c r="A3128" s="3">
        <v>44766.0</v>
      </c>
      <c r="B3128" s="6">
        <v>0.1505386447052326</v>
      </c>
    </row>
    <row r="3129">
      <c r="A3129" s="3">
        <v>44767.0</v>
      </c>
      <c r="B3129" s="6">
        <v>0.1505386447052326</v>
      </c>
    </row>
    <row r="3130">
      <c r="A3130" s="3">
        <v>44768.0</v>
      </c>
      <c r="B3130" s="6">
        <v>0.1505386447052326</v>
      </c>
    </row>
    <row r="3131">
      <c r="A3131" s="3">
        <v>44769.0</v>
      </c>
      <c r="B3131" s="6">
        <v>0.1505386447052326</v>
      </c>
    </row>
    <row r="3132">
      <c r="A3132" s="3">
        <v>44770.0</v>
      </c>
      <c r="B3132" s="6">
        <v>0.1505386447052326</v>
      </c>
    </row>
    <row r="3133">
      <c r="A3133" s="3">
        <v>44771.0</v>
      </c>
      <c r="B3133" s="6">
        <v>0.1505386447052326</v>
      </c>
    </row>
    <row r="3134">
      <c r="A3134" s="3">
        <v>44772.0</v>
      </c>
      <c r="B3134" s="6">
        <v>0.1505386447052326</v>
      </c>
    </row>
    <row r="3135">
      <c r="A3135" s="3">
        <v>44773.0</v>
      </c>
      <c r="B3135" s="6">
        <v>0.1505386447052326</v>
      </c>
    </row>
    <row r="3136">
      <c r="A3136" s="3">
        <v>44774.0</v>
      </c>
      <c r="B3136" s="6">
        <v>0.1505386447052326</v>
      </c>
    </row>
    <row r="3137">
      <c r="A3137" s="3">
        <v>44775.0</v>
      </c>
      <c r="B3137" s="6">
        <v>0.1505386447052326</v>
      </c>
    </row>
    <row r="3138">
      <c r="A3138" s="3">
        <v>44776.0</v>
      </c>
      <c r="B3138" s="6">
        <v>0.1505386447052326</v>
      </c>
    </row>
    <row r="3139">
      <c r="A3139" s="3">
        <v>44777.0</v>
      </c>
      <c r="B3139" s="6">
        <v>0.1505386447052326</v>
      </c>
    </row>
    <row r="3140">
      <c r="A3140" s="3">
        <v>44778.0</v>
      </c>
      <c r="B3140" s="6">
        <v>0.1505386447052326</v>
      </c>
    </row>
    <row r="3141">
      <c r="A3141" s="3">
        <v>44779.0</v>
      </c>
      <c r="B3141" s="6">
        <v>0.1505386447052326</v>
      </c>
    </row>
    <row r="3142">
      <c r="A3142" s="3">
        <v>44780.0</v>
      </c>
      <c r="B3142" s="6">
        <v>0.1505386447052326</v>
      </c>
    </row>
    <row r="3143">
      <c r="A3143" s="3">
        <v>44781.0</v>
      </c>
      <c r="B3143" s="6">
        <v>0.1505386447052326</v>
      </c>
    </row>
    <row r="3144">
      <c r="A3144" s="3">
        <v>44782.0</v>
      </c>
      <c r="B3144" s="6">
        <v>0.1505386447052326</v>
      </c>
    </row>
    <row r="3145">
      <c r="A3145" s="3">
        <v>44783.0</v>
      </c>
      <c r="B3145" s="6">
        <v>0.1505386447052326</v>
      </c>
    </row>
    <row r="3146">
      <c r="A3146" s="3">
        <v>44784.0</v>
      </c>
      <c r="B3146" s="6">
        <v>0.1505386447052326</v>
      </c>
    </row>
    <row r="3147">
      <c r="A3147" s="3">
        <v>44785.0</v>
      </c>
      <c r="B3147" s="6">
        <v>0.1505386447052326</v>
      </c>
    </row>
    <row r="3148">
      <c r="A3148" s="3">
        <v>44786.0</v>
      </c>
      <c r="B3148" s="6">
        <v>0.1505386447052326</v>
      </c>
    </row>
    <row r="3149">
      <c r="A3149" s="3">
        <v>44787.0</v>
      </c>
      <c r="B3149" s="6">
        <v>0.1505386447052326</v>
      </c>
    </row>
    <row r="3150">
      <c r="A3150" s="3">
        <v>44788.0</v>
      </c>
      <c r="B3150" s="6">
        <v>0.1505386447052326</v>
      </c>
    </row>
    <row r="3151">
      <c r="A3151" s="3">
        <v>44789.0</v>
      </c>
      <c r="B3151" s="6">
        <v>0.1505386447052326</v>
      </c>
    </row>
    <row r="3152">
      <c r="A3152" s="3">
        <v>44790.0</v>
      </c>
      <c r="B3152" s="6">
        <v>0.1505386447052326</v>
      </c>
    </row>
    <row r="3153">
      <c r="A3153" s="3">
        <v>44791.0</v>
      </c>
      <c r="B3153" s="6">
        <v>0.1505386447052326</v>
      </c>
    </row>
    <row r="3154">
      <c r="A3154" s="3">
        <v>44792.0</v>
      </c>
      <c r="B3154" s="6">
        <v>0.1505386447052326</v>
      </c>
    </row>
    <row r="3155">
      <c r="A3155" s="3">
        <v>44793.0</v>
      </c>
      <c r="B3155" s="6">
        <v>0.1505386447052326</v>
      </c>
    </row>
    <row r="3156">
      <c r="A3156" s="3">
        <v>44794.0</v>
      </c>
      <c r="B3156" s="6">
        <v>0.1505386447052326</v>
      </c>
    </row>
    <row r="3157">
      <c r="A3157" s="3">
        <v>44795.0</v>
      </c>
      <c r="B3157" s="6">
        <v>0.1505386447052326</v>
      </c>
    </row>
    <row r="3158">
      <c r="A3158" s="3">
        <v>44796.0</v>
      </c>
      <c r="B3158" s="6">
        <v>0.1505386447052326</v>
      </c>
    </row>
    <row r="3159">
      <c r="A3159" s="3">
        <v>44797.0</v>
      </c>
      <c r="B3159" s="6">
        <v>0.1505386447052326</v>
      </c>
    </row>
    <row r="3160">
      <c r="A3160" s="3">
        <v>44798.0</v>
      </c>
      <c r="B3160" s="6">
        <v>0.1505386447052326</v>
      </c>
    </row>
    <row r="3161">
      <c r="A3161" s="3">
        <v>44799.0</v>
      </c>
      <c r="B3161" s="6">
        <v>0.1505386447052326</v>
      </c>
    </row>
    <row r="3162">
      <c r="A3162" s="3">
        <v>44800.0</v>
      </c>
      <c r="B3162" s="6">
        <v>0.1505386447052326</v>
      </c>
    </row>
    <row r="3163">
      <c r="A3163" s="3">
        <v>44801.0</v>
      </c>
      <c r="B3163" s="6">
        <v>0.1505386447052326</v>
      </c>
    </row>
    <row r="3164">
      <c r="A3164" s="3">
        <v>44802.0</v>
      </c>
      <c r="B3164" s="6">
        <v>0.1505386447052326</v>
      </c>
    </row>
    <row r="3165">
      <c r="A3165" s="3">
        <v>44803.0</v>
      </c>
      <c r="B3165" s="6">
        <v>0.1505386447052326</v>
      </c>
    </row>
    <row r="3166">
      <c r="A3166" s="3">
        <v>44804.0</v>
      </c>
      <c r="B3166" s="6">
        <v>0.1505386447052326</v>
      </c>
    </row>
    <row r="3167">
      <c r="A3167" s="3">
        <v>44805.0</v>
      </c>
      <c r="B3167" s="6">
        <v>0.1505386447052326</v>
      </c>
    </row>
    <row r="3168">
      <c r="A3168" s="3">
        <v>44806.0</v>
      </c>
      <c r="B3168" s="6">
        <v>0.1505386447052326</v>
      </c>
    </row>
    <row r="3169">
      <c r="A3169" s="3">
        <v>44807.0</v>
      </c>
      <c r="B3169" s="6">
        <v>0.1505386447052326</v>
      </c>
    </row>
    <row r="3170">
      <c r="A3170" s="3">
        <v>44808.0</v>
      </c>
      <c r="B3170" s="6">
        <v>0.1505386447052326</v>
      </c>
    </row>
    <row r="3171">
      <c r="A3171" s="3">
        <v>44809.0</v>
      </c>
      <c r="B3171" s="6">
        <v>0.1505386447052326</v>
      </c>
    </row>
    <row r="3172">
      <c r="A3172" s="3">
        <v>44810.0</v>
      </c>
      <c r="B3172" s="6">
        <v>0.1505386447052326</v>
      </c>
    </row>
    <row r="3173">
      <c r="A3173" s="3">
        <v>44811.0</v>
      </c>
      <c r="B3173" s="6">
        <v>0.1505386447052326</v>
      </c>
    </row>
    <row r="3174">
      <c r="A3174" s="3">
        <v>44812.0</v>
      </c>
      <c r="B3174" s="6">
        <v>0.1505386447052326</v>
      </c>
    </row>
    <row r="3175">
      <c r="A3175" s="3">
        <v>44813.0</v>
      </c>
      <c r="B3175" s="6">
        <v>0.1505386447052326</v>
      </c>
    </row>
    <row r="3176">
      <c r="A3176" s="3">
        <v>44814.0</v>
      </c>
      <c r="B3176" s="6">
        <v>0.1505386447052326</v>
      </c>
    </row>
    <row r="3177">
      <c r="A3177" s="3">
        <v>44815.0</v>
      </c>
      <c r="B3177" s="6">
        <v>0.1505386447052326</v>
      </c>
    </row>
    <row r="3178">
      <c r="A3178" s="3">
        <v>44816.0</v>
      </c>
      <c r="B3178" s="6">
        <v>0.1505386447052326</v>
      </c>
    </row>
    <row r="3179">
      <c r="A3179" s="3">
        <v>44817.0</v>
      </c>
      <c r="B3179" s="6">
        <v>0.1505386447052326</v>
      </c>
    </row>
    <row r="3180">
      <c r="A3180" s="3">
        <v>44818.0</v>
      </c>
      <c r="B3180" s="6">
        <v>0.1505386447052326</v>
      </c>
    </row>
    <row r="3181">
      <c r="A3181" s="3">
        <v>44819.0</v>
      </c>
      <c r="B3181" s="6">
        <v>0.1505386447052326</v>
      </c>
    </row>
    <row r="3182">
      <c r="A3182" s="3">
        <v>44820.0</v>
      </c>
      <c r="B3182" s="6">
        <v>0.1505386447052326</v>
      </c>
    </row>
    <row r="3183">
      <c r="A3183" s="3">
        <v>44821.0</v>
      </c>
      <c r="B3183" s="6">
        <v>0.1505386447052326</v>
      </c>
    </row>
    <row r="3184">
      <c r="A3184" s="3">
        <v>44822.0</v>
      </c>
      <c r="B3184" s="6">
        <v>0.1505386447052326</v>
      </c>
    </row>
    <row r="3185">
      <c r="A3185" s="3">
        <v>44823.0</v>
      </c>
      <c r="B3185" s="6">
        <v>0.1505386447052326</v>
      </c>
    </row>
    <row r="3186">
      <c r="A3186" s="3">
        <v>44824.0</v>
      </c>
      <c r="B3186" s="6">
        <v>0.1505386447052326</v>
      </c>
    </row>
    <row r="3187">
      <c r="A3187" s="3">
        <v>44825.0</v>
      </c>
      <c r="B3187" s="6">
        <v>0.1505386447052326</v>
      </c>
    </row>
    <row r="3188">
      <c r="A3188" s="3">
        <v>44826.0</v>
      </c>
      <c r="B3188" s="6">
        <v>0.1505386447052326</v>
      </c>
    </row>
    <row r="3189">
      <c r="A3189" s="3">
        <v>44827.0</v>
      </c>
      <c r="B3189" s="6">
        <v>0.1505386447052326</v>
      </c>
    </row>
    <row r="3190">
      <c r="A3190" s="3">
        <v>44828.0</v>
      </c>
      <c r="B3190" s="6">
        <v>0.1505386447052326</v>
      </c>
    </row>
    <row r="3191">
      <c r="A3191" s="3">
        <v>44829.0</v>
      </c>
      <c r="B3191" s="6">
        <v>0.1505386447052326</v>
      </c>
    </row>
    <row r="3192">
      <c r="A3192" s="3">
        <v>44830.0</v>
      </c>
      <c r="B3192" s="6">
        <v>0.1505386447052326</v>
      </c>
    </row>
    <row r="3193">
      <c r="A3193" s="3">
        <v>44831.0</v>
      </c>
      <c r="B3193" s="6">
        <v>0.1505386447052326</v>
      </c>
    </row>
    <row r="3194">
      <c r="A3194" s="3">
        <v>44832.0</v>
      </c>
      <c r="B3194" s="6">
        <v>0.1505386447052326</v>
      </c>
    </row>
    <row r="3195">
      <c r="A3195" s="3">
        <v>44833.0</v>
      </c>
      <c r="B3195" s="6">
        <v>0.1505386447052326</v>
      </c>
    </row>
    <row r="3196">
      <c r="A3196" s="3">
        <v>44834.0</v>
      </c>
      <c r="B3196" s="6">
        <v>0.1505386447052326</v>
      </c>
    </row>
    <row r="3197">
      <c r="A3197" s="3">
        <v>44835.0</v>
      </c>
      <c r="B3197" s="6">
        <v>0.1505386447052326</v>
      </c>
    </row>
    <row r="3198">
      <c r="A3198" s="3">
        <v>44836.0</v>
      </c>
      <c r="B3198" s="6">
        <v>0.1505386447052326</v>
      </c>
    </row>
    <row r="3199">
      <c r="A3199" s="3">
        <v>44837.0</v>
      </c>
      <c r="B3199" s="6">
        <v>0.1505386447052326</v>
      </c>
    </row>
    <row r="3200">
      <c r="A3200" s="3">
        <v>44838.0</v>
      </c>
      <c r="B3200" s="6">
        <v>0.1505386447052326</v>
      </c>
    </row>
    <row r="3201">
      <c r="A3201" s="3">
        <v>44839.0</v>
      </c>
      <c r="B3201" s="6">
        <v>0.1505386447052326</v>
      </c>
    </row>
    <row r="3202">
      <c r="A3202" s="3">
        <v>44840.0</v>
      </c>
      <c r="B3202" s="6">
        <v>0.1505386447052326</v>
      </c>
    </row>
    <row r="3203">
      <c r="A3203" s="3">
        <v>44841.0</v>
      </c>
      <c r="B3203" s="6">
        <v>0.1505386447052326</v>
      </c>
    </row>
    <row r="3204">
      <c r="A3204" s="3">
        <v>44842.0</v>
      </c>
      <c r="B3204" s="6">
        <v>0.1505386447052326</v>
      </c>
    </row>
    <row r="3205">
      <c r="A3205" s="3">
        <v>44843.0</v>
      </c>
      <c r="B3205" s="6">
        <v>0.1505386447052326</v>
      </c>
    </row>
    <row r="3206">
      <c r="A3206" s="3">
        <v>44844.0</v>
      </c>
      <c r="B3206" s="6">
        <v>0.1505386447052326</v>
      </c>
    </row>
    <row r="3207">
      <c r="A3207" s="3">
        <v>44845.0</v>
      </c>
      <c r="B3207" s="6">
        <v>0.1505386447052326</v>
      </c>
    </row>
    <row r="3208">
      <c r="A3208" s="3">
        <v>44846.0</v>
      </c>
      <c r="B3208" s="6">
        <v>0.1505386447052326</v>
      </c>
    </row>
    <row r="3209">
      <c r="A3209" s="3">
        <v>44847.0</v>
      </c>
      <c r="B3209" s="6">
        <v>0.1505386447052326</v>
      </c>
    </row>
    <row r="3210">
      <c r="A3210" s="3">
        <v>44848.0</v>
      </c>
      <c r="B3210" s="6">
        <v>0.1505386447052326</v>
      </c>
    </row>
    <row r="3211">
      <c r="A3211" s="3">
        <v>44849.0</v>
      </c>
      <c r="B3211" s="6">
        <v>0.1505386447052326</v>
      </c>
    </row>
    <row r="3212">
      <c r="A3212" s="3">
        <v>44850.0</v>
      </c>
      <c r="B3212" s="6">
        <v>0.1505386447052326</v>
      </c>
    </row>
    <row r="3213">
      <c r="A3213" s="3">
        <v>44851.0</v>
      </c>
      <c r="B3213" s="6">
        <v>0.1505386447052326</v>
      </c>
    </row>
    <row r="3214">
      <c r="A3214" s="3">
        <v>44852.0</v>
      </c>
      <c r="B3214" s="6">
        <v>0.1505386447052326</v>
      </c>
    </row>
    <row r="3215">
      <c r="A3215" s="3">
        <v>44853.0</v>
      </c>
      <c r="B3215" s="6">
        <v>0.1505386447052326</v>
      </c>
    </row>
    <row r="3216">
      <c r="A3216" s="3">
        <v>44854.0</v>
      </c>
      <c r="B3216" s="6">
        <v>0.1505386447052326</v>
      </c>
    </row>
    <row r="3217">
      <c r="A3217" s="3">
        <v>44855.0</v>
      </c>
      <c r="B3217" s="6">
        <v>0.1505386447052326</v>
      </c>
    </row>
    <row r="3218">
      <c r="A3218" s="3">
        <v>44856.0</v>
      </c>
      <c r="B3218" s="6">
        <v>0.1505386447052326</v>
      </c>
    </row>
    <row r="3219">
      <c r="A3219" s="3">
        <v>44857.0</v>
      </c>
      <c r="B3219" s="6">
        <v>0.1505386447052326</v>
      </c>
    </row>
    <row r="3220">
      <c r="A3220" s="3">
        <v>44858.0</v>
      </c>
      <c r="B3220" s="6">
        <v>0.1505386447052326</v>
      </c>
    </row>
    <row r="3221">
      <c r="A3221" s="3">
        <v>44859.0</v>
      </c>
      <c r="B3221" s="6">
        <v>0.1505386447052326</v>
      </c>
    </row>
    <row r="3222">
      <c r="A3222" s="3">
        <v>44860.0</v>
      </c>
      <c r="B3222" s="6">
        <v>0.1505386447052326</v>
      </c>
    </row>
    <row r="3223">
      <c r="A3223" s="3">
        <v>44861.0</v>
      </c>
      <c r="B3223" s="6">
        <v>0.1505386447052326</v>
      </c>
    </row>
    <row r="3224">
      <c r="A3224" s="3">
        <v>44862.0</v>
      </c>
      <c r="B3224" s="6">
        <v>0.1505386447052326</v>
      </c>
    </row>
    <row r="3225">
      <c r="A3225" s="3">
        <v>44863.0</v>
      </c>
      <c r="B3225" s="6">
        <v>0.1505386447052326</v>
      </c>
    </row>
    <row r="3226">
      <c r="A3226" s="3">
        <v>44864.0</v>
      </c>
      <c r="B3226" s="6">
        <v>0.1505386447052326</v>
      </c>
    </row>
    <row r="3227">
      <c r="A3227" s="3">
        <v>44865.0</v>
      </c>
      <c r="B3227" s="6">
        <v>0.1505386447052326</v>
      </c>
    </row>
    <row r="3228">
      <c r="A3228" s="3">
        <v>44866.0</v>
      </c>
      <c r="B3228" s="6">
        <v>0.1505386447052326</v>
      </c>
    </row>
    <row r="3229">
      <c r="A3229" s="3">
        <v>44867.0</v>
      </c>
      <c r="B3229" s="6">
        <v>0.1505386447052326</v>
      </c>
    </row>
    <row r="3230">
      <c r="A3230" s="3">
        <v>44868.0</v>
      </c>
      <c r="B3230" s="6">
        <v>0.1505386447052326</v>
      </c>
    </row>
    <row r="3231">
      <c r="A3231" s="3">
        <v>44869.0</v>
      </c>
      <c r="B3231" s="6">
        <v>0.1505386447052326</v>
      </c>
    </row>
    <row r="3232">
      <c r="A3232" s="3">
        <v>44870.0</v>
      </c>
      <c r="B3232" s="6">
        <v>0.1505386447052326</v>
      </c>
    </row>
    <row r="3233">
      <c r="A3233" s="3">
        <v>44871.0</v>
      </c>
      <c r="B3233" s="6">
        <v>0.1505386447052326</v>
      </c>
    </row>
    <row r="3234">
      <c r="A3234" s="3">
        <v>44872.0</v>
      </c>
      <c r="B3234" s="6">
        <v>0.1505386447052326</v>
      </c>
    </row>
    <row r="3235">
      <c r="A3235" s="3">
        <v>44873.0</v>
      </c>
      <c r="B3235" s="6">
        <v>0.1505386447052326</v>
      </c>
    </row>
    <row r="3236">
      <c r="A3236" s="3">
        <v>44874.0</v>
      </c>
      <c r="B3236" s="6">
        <v>0.1505386447052326</v>
      </c>
    </row>
    <row r="3237">
      <c r="A3237" s="3">
        <v>44875.0</v>
      </c>
      <c r="B3237" s="6">
        <v>0.1505386447052326</v>
      </c>
    </row>
    <row r="3238">
      <c r="A3238" s="3">
        <v>44876.0</v>
      </c>
      <c r="B3238" s="6">
        <v>0.1505386447052326</v>
      </c>
    </row>
    <row r="3239">
      <c r="A3239" s="3">
        <v>44877.0</v>
      </c>
      <c r="B3239" s="6">
        <v>0.1505386447052326</v>
      </c>
    </row>
    <row r="3240">
      <c r="A3240" s="3">
        <v>44878.0</v>
      </c>
      <c r="B3240" s="6">
        <v>0.1505386447052326</v>
      </c>
    </row>
    <row r="3241">
      <c r="A3241" s="3">
        <v>44879.0</v>
      </c>
      <c r="B3241" s="6">
        <v>0.1505386447052326</v>
      </c>
    </row>
    <row r="3242">
      <c r="A3242" s="3">
        <v>44880.0</v>
      </c>
      <c r="B3242" s="6">
        <v>0.1505386447052326</v>
      </c>
    </row>
    <row r="3243">
      <c r="A3243" s="3">
        <v>44881.0</v>
      </c>
      <c r="B3243" s="6">
        <v>0.1505386447052326</v>
      </c>
    </row>
    <row r="3244">
      <c r="A3244" s="3">
        <v>44882.0</v>
      </c>
      <c r="B3244" s="6">
        <v>0.1505386447052326</v>
      </c>
    </row>
    <row r="3245">
      <c r="A3245" s="3">
        <v>44883.0</v>
      </c>
      <c r="B3245" s="6">
        <v>0.1505386447052326</v>
      </c>
    </row>
    <row r="3246">
      <c r="A3246" s="3">
        <v>44884.0</v>
      </c>
      <c r="B3246" s="6">
        <v>0.1505386447052326</v>
      </c>
    </row>
    <row r="3247">
      <c r="A3247" s="3">
        <v>44885.0</v>
      </c>
      <c r="B3247" s="6">
        <v>0.1505386447052326</v>
      </c>
    </row>
    <row r="3248">
      <c r="A3248" s="3">
        <v>44886.0</v>
      </c>
      <c r="B3248" s="6">
        <v>0.1505386447052326</v>
      </c>
    </row>
    <row r="3249">
      <c r="A3249" s="3">
        <v>44887.0</v>
      </c>
      <c r="B3249" s="6">
        <v>0.1505386447052326</v>
      </c>
    </row>
    <row r="3250">
      <c r="A3250" s="3">
        <v>44888.0</v>
      </c>
      <c r="B3250" s="6">
        <v>0.1505386447052326</v>
      </c>
    </row>
    <row r="3251">
      <c r="A3251" s="3">
        <v>44889.0</v>
      </c>
      <c r="B3251" s="6">
        <v>0.1505386447052326</v>
      </c>
    </row>
    <row r="3252">
      <c r="A3252" s="3">
        <v>44890.0</v>
      </c>
      <c r="B3252" s="6">
        <v>0.1505386447052326</v>
      </c>
    </row>
    <row r="3253">
      <c r="A3253" s="3">
        <v>44891.0</v>
      </c>
      <c r="B3253" s="6">
        <v>0.1505386447052326</v>
      </c>
    </row>
    <row r="3254">
      <c r="A3254" s="3">
        <v>44892.0</v>
      </c>
      <c r="B3254" s="6">
        <v>0.1505386447052326</v>
      </c>
    </row>
    <row r="3255">
      <c r="A3255" s="3">
        <v>44893.0</v>
      </c>
      <c r="B3255" s="6">
        <v>0.1505386447052326</v>
      </c>
    </row>
    <row r="3256">
      <c r="A3256" s="3">
        <v>44894.0</v>
      </c>
      <c r="B3256" s="6">
        <v>0.1505386447052326</v>
      </c>
    </row>
    <row r="3257">
      <c r="A3257" s="3">
        <v>44895.0</v>
      </c>
      <c r="B3257" s="6">
        <v>0.1505386447052326</v>
      </c>
    </row>
    <row r="3258">
      <c r="A3258" s="3">
        <v>44896.0</v>
      </c>
      <c r="B3258" s="6">
        <v>0.1505386447052326</v>
      </c>
    </row>
    <row r="3259">
      <c r="A3259" s="3">
        <v>44897.0</v>
      </c>
      <c r="B3259" s="6">
        <v>0.1505386447052326</v>
      </c>
    </row>
    <row r="3260">
      <c r="A3260" s="3">
        <v>44898.0</v>
      </c>
      <c r="B3260" s="6">
        <v>0.1505386447052326</v>
      </c>
    </row>
    <row r="3261">
      <c r="A3261" s="3">
        <v>44899.0</v>
      </c>
      <c r="B3261" s="6">
        <v>0.1505386447052326</v>
      </c>
    </row>
    <row r="3262">
      <c r="A3262" s="3">
        <v>44900.0</v>
      </c>
      <c r="B3262" s="6">
        <v>0.1505386447052326</v>
      </c>
    </row>
    <row r="3263">
      <c r="A3263" s="3">
        <v>44901.0</v>
      </c>
      <c r="B3263" s="6">
        <v>0.1505386447052326</v>
      </c>
    </row>
    <row r="3264">
      <c r="A3264" s="3">
        <v>44902.0</v>
      </c>
      <c r="B3264" s="6">
        <v>0.1505386447052326</v>
      </c>
    </row>
    <row r="3265">
      <c r="A3265" s="3">
        <v>44903.0</v>
      </c>
      <c r="B3265" s="6">
        <v>0.1505386447052326</v>
      </c>
    </row>
    <row r="3266">
      <c r="A3266" s="3">
        <v>44904.0</v>
      </c>
      <c r="B3266" s="6">
        <v>0.1505386447052326</v>
      </c>
    </row>
    <row r="3267">
      <c r="A3267" s="3">
        <v>44905.0</v>
      </c>
      <c r="B3267" s="6">
        <v>0.1505386447052326</v>
      </c>
    </row>
    <row r="3268">
      <c r="A3268" s="3">
        <v>44906.0</v>
      </c>
      <c r="B3268" s="6">
        <v>0.1505386447052326</v>
      </c>
    </row>
    <row r="3269">
      <c r="A3269" s="3">
        <v>44907.0</v>
      </c>
      <c r="B3269" s="6">
        <v>0.1505386447052326</v>
      </c>
    </row>
    <row r="3270">
      <c r="A3270" s="3">
        <v>44908.0</v>
      </c>
      <c r="B3270" s="6">
        <v>0.1505386447052326</v>
      </c>
    </row>
    <row r="3271">
      <c r="A3271" s="3">
        <v>44909.0</v>
      </c>
      <c r="B3271" s="6">
        <v>0.1505386447052326</v>
      </c>
    </row>
    <row r="3272">
      <c r="A3272" s="3">
        <v>44910.0</v>
      </c>
      <c r="B3272" s="6">
        <v>0.1505386447052326</v>
      </c>
    </row>
    <row r="3273">
      <c r="A3273" s="3">
        <v>44911.0</v>
      </c>
      <c r="B3273" s="6">
        <v>0.1505386447052326</v>
      </c>
    </row>
    <row r="3274">
      <c r="A3274" s="3">
        <v>44912.0</v>
      </c>
      <c r="B3274" s="6">
        <v>0.1505386447052326</v>
      </c>
    </row>
    <row r="3275">
      <c r="A3275" s="3">
        <v>44913.0</v>
      </c>
      <c r="B3275" s="6">
        <v>0.1505386447052326</v>
      </c>
    </row>
    <row r="3276">
      <c r="A3276" s="3">
        <v>44914.0</v>
      </c>
      <c r="B3276" s="6">
        <v>0.1505386447052326</v>
      </c>
    </row>
    <row r="3277">
      <c r="A3277" s="3">
        <v>44915.0</v>
      </c>
      <c r="B3277" s="6">
        <v>0.1505386447052326</v>
      </c>
    </row>
    <row r="3278">
      <c r="A3278" s="3">
        <v>44916.0</v>
      </c>
      <c r="B3278" s="6">
        <v>0.1505386447052326</v>
      </c>
    </row>
    <row r="3279">
      <c r="A3279" s="3">
        <v>44917.0</v>
      </c>
      <c r="B3279" s="6">
        <v>0.1505386447052326</v>
      </c>
    </row>
    <row r="3280">
      <c r="A3280" s="3">
        <v>44918.0</v>
      </c>
      <c r="B3280" s="6">
        <v>0.1505386447052326</v>
      </c>
    </row>
    <row r="3281">
      <c r="A3281" s="3">
        <v>44919.0</v>
      </c>
      <c r="B3281" s="6">
        <v>0.1505386447052326</v>
      </c>
    </row>
    <row r="3282">
      <c r="A3282" s="3">
        <v>44920.0</v>
      </c>
      <c r="B3282" s="6">
        <v>0.1505386447052326</v>
      </c>
    </row>
    <row r="3283">
      <c r="A3283" s="3">
        <v>44921.0</v>
      </c>
      <c r="B3283" s="6">
        <v>0.1505386447052326</v>
      </c>
    </row>
    <row r="3284">
      <c r="A3284" s="3">
        <v>44922.0</v>
      </c>
      <c r="B3284" s="6">
        <v>0.1505386447052326</v>
      </c>
    </row>
    <row r="3285">
      <c r="A3285" s="3">
        <v>44923.0</v>
      </c>
      <c r="B3285" s="6">
        <v>0.1505386447052326</v>
      </c>
    </row>
    <row r="3286">
      <c r="A3286" s="3">
        <v>44924.0</v>
      </c>
      <c r="B3286" s="6">
        <v>0.1505386447052326</v>
      </c>
    </row>
    <row r="3287">
      <c r="A3287" s="3">
        <v>44925.0</v>
      </c>
      <c r="B3287" s="6">
        <v>0.1505386447052326</v>
      </c>
    </row>
    <row r="3288">
      <c r="A3288" s="3">
        <v>44926.0</v>
      </c>
      <c r="B3288" s="6">
        <v>0.1505386447052326</v>
      </c>
    </row>
    <row r="3289">
      <c r="A3289" s="3">
        <v>44927.0</v>
      </c>
      <c r="B3289" s="6">
        <v>0.11936544043625377</v>
      </c>
    </row>
    <row r="3290">
      <c r="A3290" s="3">
        <v>44928.0</v>
      </c>
      <c r="B3290" s="6">
        <v>0.11936544043625377</v>
      </c>
    </row>
    <row r="3291">
      <c r="A3291" s="3">
        <v>44929.0</v>
      </c>
      <c r="B3291" s="6">
        <v>0.11936544043625377</v>
      </c>
    </row>
    <row r="3292">
      <c r="A3292" s="3">
        <v>44930.0</v>
      </c>
      <c r="B3292" s="6">
        <v>0.11936544043625377</v>
      </c>
    </row>
    <row r="3293">
      <c r="A3293" s="3">
        <v>44931.0</v>
      </c>
      <c r="B3293" s="6">
        <v>0.11936544043625377</v>
      </c>
    </row>
    <row r="3294">
      <c r="A3294" s="3">
        <v>44932.0</v>
      </c>
      <c r="B3294" s="6">
        <v>0.11936544043625377</v>
      </c>
    </row>
    <row r="3295">
      <c r="A3295" s="3">
        <v>44933.0</v>
      </c>
      <c r="B3295" s="6">
        <v>0.11936544043625377</v>
      </c>
    </row>
    <row r="3296">
      <c r="A3296" s="3">
        <v>44934.0</v>
      </c>
      <c r="B3296" s="6">
        <v>0.11936544043625377</v>
      </c>
    </row>
    <row r="3297">
      <c r="A3297" s="3">
        <v>44935.0</v>
      </c>
      <c r="B3297" s="6">
        <v>0.11936544043625377</v>
      </c>
    </row>
    <row r="3298">
      <c r="A3298" s="3">
        <v>44936.0</v>
      </c>
      <c r="B3298" s="6">
        <v>0.11936544043625377</v>
      </c>
    </row>
    <row r="3299">
      <c r="A3299" s="3">
        <v>44937.0</v>
      </c>
      <c r="B3299" s="6">
        <v>0.11936544043625377</v>
      </c>
    </row>
    <row r="3300">
      <c r="A3300" s="3">
        <v>44938.0</v>
      </c>
      <c r="B3300" s="6">
        <v>0.11936544043625377</v>
      </c>
    </row>
    <row r="3301">
      <c r="A3301" s="3">
        <v>44939.0</v>
      </c>
      <c r="B3301" s="6">
        <v>0.11936544043625377</v>
      </c>
    </row>
    <row r="3302">
      <c r="A3302" s="3">
        <v>44940.0</v>
      </c>
      <c r="B3302" s="6">
        <v>0.11936544043625377</v>
      </c>
    </row>
    <row r="3303">
      <c r="A3303" s="3">
        <v>44941.0</v>
      </c>
      <c r="B3303" s="6">
        <v>0.11936544043625377</v>
      </c>
    </row>
    <row r="3304">
      <c r="A3304" s="3">
        <v>44942.0</v>
      </c>
      <c r="B3304" s="6">
        <v>0.11936544043625377</v>
      </c>
    </row>
    <row r="3305">
      <c r="A3305" s="3">
        <v>44943.0</v>
      </c>
      <c r="B3305" s="6">
        <v>0.11936544043625377</v>
      </c>
    </row>
    <row r="3306">
      <c r="A3306" s="3">
        <v>44944.0</v>
      </c>
      <c r="B3306" s="6">
        <v>0.11936544043625377</v>
      </c>
    </row>
    <row r="3307">
      <c r="A3307" s="3">
        <v>44945.0</v>
      </c>
      <c r="B3307" s="6">
        <v>0.11936544043625377</v>
      </c>
    </row>
    <row r="3308">
      <c r="A3308" s="3">
        <v>44946.0</v>
      </c>
      <c r="B3308" s="6">
        <v>0.11936544043625377</v>
      </c>
    </row>
    <row r="3309">
      <c r="A3309" s="3">
        <v>44947.0</v>
      </c>
      <c r="B3309" s="6">
        <v>0.11936544043625377</v>
      </c>
    </row>
    <row r="3310">
      <c r="A3310" s="3">
        <v>44948.0</v>
      </c>
      <c r="B3310" s="6">
        <v>0.11936544043625377</v>
      </c>
    </row>
    <row r="3311">
      <c r="A3311" s="3">
        <v>44949.0</v>
      </c>
      <c r="B3311" s="6">
        <v>0.11936544043625377</v>
      </c>
    </row>
    <row r="3312">
      <c r="A3312" s="3">
        <v>44950.0</v>
      </c>
      <c r="B3312" s="6">
        <v>0.11936544043625377</v>
      </c>
    </row>
    <row r="3313">
      <c r="A3313" s="3">
        <v>44951.0</v>
      </c>
      <c r="B3313" s="6">
        <v>0.11936544043625377</v>
      </c>
    </row>
    <row r="3314">
      <c r="A3314" s="3">
        <v>44952.0</v>
      </c>
      <c r="B3314" s="6">
        <v>0.11936544043625377</v>
      </c>
    </row>
    <row r="3315">
      <c r="A3315" s="3">
        <v>44953.0</v>
      </c>
      <c r="B3315" s="6">
        <v>0.11936544043625377</v>
      </c>
    </row>
    <row r="3316">
      <c r="A3316" s="3">
        <v>44954.0</v>
      </c>
      <c r="B3316" s="6">
        <v>0.11936544043625377</v>
      </c>
    </row>
    <row r="3317">
      <c r="A3317" s="3">
        <v>44955.0</v>
      </c>
      <c r="B3317" s="6">
        <v>0.11936544043625377</v>
      </c>
    </row>
    <row r="3318">
      <c r="A3318" s="3">
        <v>44956.0</v>
      </c>
      <c r="B3318" s="6">
        <v>0.11936544043625377</v>
      </c>
    </row>
    <row r="3319">
      <c r="A3319" s="3">
        <v>44957.0</v>
      </c>
      <c r="B3319" s="6">
        <v>0.11936544043625377</v>
      </c>
    </row>
    <row r="3320">
      <c r="A3320" s="3">
        <v>44958.0</v>
      </c>
      <c r="B3320" s="6">
        <v>0.11936544043625377</v>
      </c>
    </row>
    <row r="3321">
      <c r="A3321" s="3">
        <v>44959.0</v>
      </c>
      <c r="B3321" s="6">
        <v>0.11936544043625377</v>
      </c>
    </row>
    <row r="3322">
      <c r="A3322" s="3">
        <v>44960.0</v>
      </c>
      <c r="B3322" s="6">
        <v>0.11936544043625377</v>
      </c>
    </row>
    <row r="3323">
      <c r="A3323" s="3">
        <v>44961.0</v>
      </c>
      <c r="B3323" s="6">
        <v>0.11936544043625377</v>
      </c>
    </row>
    <row r="3324">
      <c r="A3324" s="3">
        <v>44962.0</v>
      </c>
      <c r="B3324" s="6">
        <v>0.11936544043625377</v>
      </c>
    </row>
    <row r="3325">
      <c r="A3325" s="3">
        <v>44963.0</v>
      </c>
      <c r="B3325" s="6">
        <v>0.11936544043625377</v>
      </c>
    </row>
    <row r="3326">
      <c r="A3326" s="3">
        <v>44964.0</v>
      </c>
      <c r="B3326" s="6">
        <v>0.11936544043625377</v>
      </c>
    </row>
    <row r="3327">
      <c r="A3327" s="3">
        <v>44965.0</v>
      </c>
      <c r="B3327" s="6">
        <v>0.11936544043625377</v>
      </c>
    </row>
    <row r="3328">
      <c r="A3328" s="3">
        <v>44966.0</v>
      </c>
      <c r="B3328" s="6">
        <v>0.11936544043625377</v>
      </c>
    </row>
    <row r="3329">
      <c r="A3329" s="3">
        <v>44967.0</v>
      </c>
      <c r="B3329" s="6">
        <v>0.11936544043625377</v>
      </c>
    </row>
    <row r="3330">
      <c r="A3330" s="3">
        <v>44968.0</v>
      </c>
      <c r="B3330" s="6">
        <v>0.11936544043625377</v>
      </c>
    </row>
    <row r="3331">
      <c r="A3331" s="3">
        <v>44969.0</v>
      </c>
      <c r="B3331" s="6">
        <v>0.11936544043625377</v>
      </c>
    </row>
    <row r="3332">
      <c r="A3332" s="3">
        <v>44970.0</v>
      </c>
      <c r="B3332" s="6">
        <v>0.11936544043625377</v>
      </c>
    </row>
    <row r="3333">
      <c r="A3333" s="3">
        <v>44971.0</v>
      </c>
      <c r="B3333" s="6">
        <v>0.11936544043625377</v>
      </c>
    </row>
    <row r="3334">
      <c r="A3334" s="3">
        <v>44972.0</v>
      </c>
      <c r="B3334" s="6">
        <v>0.11936544043625377</v>
      </c>
    </row>
    <row r="3335">
      <c r="A3335" s="3">
        <v>44973.0</v>
      </c>
      <c r="B3335" s="6">
        <v>0.11936544043625377</v>
      </c>
    </row>
    <row r="3336">
      <c r="A3336" s="3">
        <v>44974.0</v>
      </c>
      <c r="B3336" s="6">
        <v>0.11936544043625377</v>
      </c>
    </row>
    <row r="3337">
      <c r="A3337" s="3">
        <v>44975.0</v>
      </c>
      <c r="B3337" s="6">
        <v>0.11936544043625377</v>
      </c>
    </row>
    <row r="3338">
      <c r="A3338" s="3">
        <v>44976.0</v>
      </c>
      <c r="B3338" s="6">
        <v>0.11936544043625377</v>
      </c>
    </row>
    <row r="3339">
      <c r="A3339" s="3">
        <v>44977.0</v>
      </c>
      <c r="B3339" s="6">
        <v>0.11936544043625377</v>
      </c>
    </row>
    <row r="3340">
      <c r="A3340" s="3">
        <v>44978.0</v>
      </c>
      <c r="B3340" s="6">
        <v>0.11936544043625377</v>
      </c>
    </row>
    <row r="3341">
      <c r="A3341" s="3">
        <v>44979.0</v>
      </c>
      <c r="B3341" s="6">
        <v>0.11936544043625377</v>
      </c>
    </row>
    <row r="3342">
      <c r="A3342" s="3">
        <v>44980.0</v>
      </c>
      <c r="B3342" s="6">
        <v>0.11936544043625377</v>
      </c>
    </row>
    <row r="3343">
      <c r="A3343" s="3">
        <v>44981.0</v>
      </c>
      <c r="B3343" s="6">
        <v>0.11936544043625377</v>
      </c>
    </row>
    <row r="3344">
      <c r="A3344" s="3">
        <v>44982.0</v>
      </c>
      <c r="B3344" s="6">
        <v>0.11936544043625377</v>
      </c>
    </row>
    <row r="3345">
      <c r="A3345" s="3">
        <v>44983.0</v>
      </c>
      <c r="B3345" s="6">
        <v>0.11936544043625377</v>
      </c>
    </row>
    <row r="3346">
      <c r="A3346" s="3">
        <v>44984.0</v>
      </c>
      <c r="B3346" s="6">
        <v>0.11936544043625377</v>
      </c>
    </row>
    <row r="3347">
      <c r="A3347" s="3">
        <v>44985.0</v>
      </c>
      <c r="B3347" s="6">
        <v>0.11936544043625377</v>
      </c>
    </row>
    <row r="3348">
      <c r="A3348" s="3">
        <v>44986.0</v>
      </c>
      <c r="B3348" s="6">
        <v>0.11936544043625377</v>
      </c>
    </row>
    <row r="3349">
      <c r="A3349" s="3">
        <v>44987.0</v>
      </c>
      <c r="B3349" s="6">
        <v>0.11936544043625377</v>
      </c>
    </row>
    <row r="3350">
      <c r="A3350" s="3">
        <v>44988.0</v>
      </c>
      <c r="B3350" s="6">
        <v>0.11936544043625377</v>
      </c>
    </row>
    <row r="3351">
      <c r="A3351" s="3">
        <v>44989.0</v>
      </c>
      <c r="B3351" s="6">
        <v>0.11936544043625377</v>
      </c>
    </row>
    <row r="3352">
      <c r="A3352" s="3">
        <v>44990.0</v>
      </c>
      <c r="B3352" s="6">
        <v>0.11936544043625377</v>
      </c>
    </row>
    <row r="3353">
      <c r="A3353" s="3">
        <v>44991.0</v>
      </c>
      <c r="B3353" s="6">
        <v>0.11936544043625377</v>
      </c>
    </row>
    <row r="3354">
      <c r="A3354" s="3">
        <v>44992.0</v>
      </c>
      <c r="B3354" s="6">
        <v>0.11936544043625377</v>
      </c>
    </row>
    <row r="3355">
      <c r="A3355" s="3">
        <v>44993.0</v>
      </c>
      <c r="B3355" s="6">
        <v>0.11936544043625377</v>
      </c>
    </row>
    <row r="3356">
      <c r="A3356" s="3">
        <v>44994.0</v>
      </c>
      <c r="B3356" s="6">
        <v>0.11936544043625377</v>
      </c>
    </row>
    <row r="3357">
      <c r="A3357" s="3">
        <v>44995.0</v>
      </c>
      <c r="B3357" s="6">
        <v>0.11936544043625377</v>
      </c>
    </row>
    <row r="3358">
      <c r="A3358" s="3">
        <v>44996.0</v>
      </c>
      <c r="B3358" s="6">
        <v>0.11936544043625377</v>
      </c>
    </row>
    <row r="3359">
      <c r="A3359" s="3">
        <v>44997.0</v>
      </c>
      <c r="B3359" s="6">
        <v>0.11936544043625377</v>
      </c>
    </row>
    <row r="3360">
      <c r="A3360" s="3">
        <v>44998.0</v>
      </c>
      <c r="B3360" s="6">
        <v>0.11936544043625377</v>
      </c>
    </row>
    <row r="3361">
      <c r="A3361" s="3">
        <v>44999.0</v>
      </c>
      <c r="B3361" s="6">
        <v>0.11936544043625377</v>
      </c>
    </row>
    <row r="3362">
      <c r="A3362" s="3">
        <v>45000.0</v>
      </c>
      <c r="B3362" s="6">
        <v>0.11936544043625377</v>
      </c>
    </row>
    <row r="3363">
      <c r="A3363" s="3">
        <v>45001.0</v>
      </c>
      <c r="B3363" s="6">
        <v>0.11936544043625377</v>
      </c>
    </row>
    <row r="3364">
      <c r="A3364" s="3">
        <v>45002.0</v>
      </c>
      <c r="B3364" s="6">
        <v>0.11936544043625377</v>
      </c>
    </row>
    <row r="3365">
      <c r="A3365" s="3">
        <v>45003.0</v>
      </c>
      <c r="B3365" s="6">
        <v>0.11936544043625377</v>
      </c>
    </row>
    <row r="3366">
      <c r="A3366" s="3">
        <v>45004.0</v>
      </c>
      <c r="B3366" s="6">
        <v>0.11936544043625377</v>
      </c>
    </row>
    <row r="3367">
      <c r="A3367" s="3">
        <v>45005.0</v>
      </c>
      <c r="B3367" s="6">
        <v>0.11936544043625377</v>
      </c>
    </row>
    <row r="3368">
      <c r="A3368" s="3">
        <v>45006.0</v>
      </c>
      <c r="B3368" s="6">
        <v>0.11936544043625377</v>
      </c>
    </row>
    <row r="3369">
      <c r="A3369" s="3">
        <v>45007.0</v>
      </c>
      <c r="B3369" s="6">
        <v>0.11936544043625377</v>
      </c>
    </row>
    <row r="3370">
      <c r="A3370" s="3">
        <v>45008.0</v>
      </c>
      <c r="B3370" s="6">
        <v>0.11936544043625377</v>
      </c>
    </row>
    <row r="3371">
      <c r="A3371" s="3">
        <v>45009.0</v>
      </c>
      <c r="B3371" s="6">
        <v>0.11936544043625377</v>
      </c>
    </row>
    <row r="3372">
      <c r="A3372" s="3">
        <v>45010.0</v>
      </c>
      <c r="B3372" s="6">
        <v>0.11936544043625377</v>
      </c>
    </row>
    <row r="3373">
      <c r="A3373" s="3">
        <v>45011.0</v>
      </c>
      <c r="B3373" s="6">
        <v>0.11936544043625377</v>
      </c>
    </row>
    <row r="3374">
      <c r="A3374" s="3">
        <v>45012.0</v>
      </c>
      <c r="B3374" s="6">
        <v>0.11936544043625377</v>
      </c>
    </row>
    <row r="3375">
      <c r="A3375" s="3">
        <v>45013.0</v>
      </c>
      <c r="B3375" s="6">
        <v>0.11936544043625377</v>
      </c>
    </row>
    <row r="3376">
      <c r="A3376" s="3">
        <v>45014.0</v>
      </c>
      <c r="B3376" s="6">
        <v>0.11936544043625377</v>
      </c>
    </row>
    <row r="3377">
      <c r="A3377" s="3">
        <v>45015.0</v>
      </c>
      <c r="B3377" s="6">
        <v>0.11936544043625377</v>
      </c>
    </row>
    <row r="3378">
      <c r="A3378" s="3">
        <v>45016.0</v>
      </c>
      <c r="B3378" s="6">
        <v>0.11936544043625377</v>
      </c>
    </row>
    <row r="3379">
      <c r="A3379" s="3">
        <v>45017.0</v>
      </c>
      <c r="B3379" s="6">
        <v>0.11936544043625377</v>
      </c>
    </row>
    <row r="3380">
      <c r="A3380" s="3">
        <v>45018.0</v>
      </c>
      <c r="B3380" s="6">
        <v>0.11936544043625377</v>
      </c>
    </row>
    <row r="3381">
      <c r="A3381" s="3">
        <v>45019.0</v>
      </c>
      <c r="B3381" s="6">
        <v>0.11936544043625377</v>
      </c>
    </row>
    <row r="3382">
      <c r="A3382" s="3">
        <v>45020.0</v>
      </c>
      <c r="B3382" s="6">
        <v>0.11936544043625377</v>
      </c>
    </row>
    <row r="3383">
      <c r="A3383" s="3">
        <v>45021.0</v>
      </c>
      <c r="B3383" s="6">
        <v>0.11936544043625377</v>
      </c>
    </row>
    <row r="3384">
      <c r="A3384" s="3">
        <v>45022.0</v>
      </c>
      <c r="B3384" s="6">
        <v>0.11936544043625377</v>
      </c>
    </row>
    <row r="3385">
      <c r="A3385" s="3">
        <v>45023.0</v>
      </c>
      <c r="B3385" s="6">
        <v>0.11936544043625377</v>
      </c>
    </row>
    <row r="3386">
      <c r="A3386" s="3">
        <v>45024.0</v>
      </c>
      <c r="B3386" s="6">
        <v>0.11936544043625377</v>
      </c>
    </row>
    <row r="3387">
      <c r="A3387" s="3">
        <v>45025.0</v>
      </c>
      <c r="B3387" s="6">
        <v>0.11936544043625377</v>
      </c>
    </row>
    <row r="3388">
      <c r="A3388" s="3">
        <v>45026.0</v>
      </c>
      <c r="B3388" s="6">
        <v>0.11936544043625377</v>
      </c>
    </row>
    <row r="3389">
      <c r="A3389" s="3">
        <v>45027.0</v>
      </c>
      <c r="B3389" s="6">
        <v>0.11936544043625377</v>
      </c>
    </row>
    <row r="3390">
      <c r="A3390" s="3">
        <v>45028.0</v>
      </c>
      <c r="B3390" s="6">
        <v>0.11936544043625377</v>
      </c>
    </row>
    <row r="3391">
      <c r="A3391" s="3">
        <v>45029.0</v>
      </c>
      <c r="B3391" s="6">
        <v>0.11936544043625377</v>
      </c>
    </row>
    <row r="3392">
      <c r="A3392" s="3">
        <v>45030.0</v>
      </c>
      <c r="B3392" s="6">
        <v>0.11936544043625377</v>
      </c>
    </row>
    <row r="3393">
      <c r="A3393" s="3">
        <v>45031.0</v>
      </c>
      <c r="B3393" s="6">
        <v>0.11936544043625377</v>
      </c>
    </row>
    <row r="3394">
      <c r="A3394" s="3">
        <v>45032.0</v>
      </c>
      <c r="B3394" s="6">
        <v>0.11936544043625377</v>
      </c>
    </row>
    <row r="3395">
      <c r="A3395" s="3">
        <v>45033.0</v>
      </c>
      <c r="B3395" s="6">
        <v>0.11936544043625377</v>
      </c>
    </row>
    <row r="3396">
      <c r="A3396" s="3">
        <v>45034.0</v>
      </c>
      <c r="B3396" s="6">
        <v>0.11936544043625377</v>
      </c>
    </row>
    <row r="3397">
      <c r="A3397" s="3">
        <v>45035.0</v>
      </c>
      <c r="B3397" s="6">
        <v>0.11936544043625377</v>
      </c>
    </row>
    <row r="3398">
      <c r="A3398" s="3">
        <v>45036.0</v>
      </c>
      <c r="B3398" s="6">
        <v>0.11936544043625377</v>
      </c>
    </row>
    <row r="3399">
      <c r="A3399" s="3">
        <v>45037.0</v>
      </c>
      <c r="B3399" s="6">
        <v>0.11936544043625377</v>
      </c>
    </row>
    <row r="3400">
      <c r="A3400" s="3">
        <v>45038.0</v>
      </c>
      <c r="B3400" s="6">
        <v>0.11936544043625377</v>
      </c>
    </row>
    <row r="3401">
      <c r="A3401" s="3">
        <v>45039.0</v>
      </c>
      <c r="B3401" s="6">
        <v>0.11936544043625377</v>
      </c>
    </row>
    <row r="3402">
      <c r="A3402" s="3">
        <v>45040.0</v>
      </c>
      <c r="B3402" s="6">
        <v>0.11936544043625377</v>
      </c>
    </row>
    <row r="3403">
      <c r="A3403" s="3">
        <v>45041.0</v>
      </c>
      <c r="B3403" s="6">
        <v>0.11936544043625377</v>
      </c>
    </row>
    <row r="3404">
      <c r="A3404" s="3">
        <v>45042.0</v>
      </c>
      <c r="B3404" s="6">
        <v>0.11936544043625377</v>
      </c>
    </row>
    <row r="3405">
      <c r="A3405" s="3">
        <v>45043.0</v>
      </c>
      <c r="B3405" s="6">
        <v>0.11936544043625377</v>
      </c>
    </row>
    <row r="3406">
      <c r="A3406" s="3">
        <v>45044.0</v>
      </c>
      <c r="B3406" s="6">
        <v>0.11936544043625377</v>
      </c>
    </row>
    <row r="3407">
      <c r="A3407" s="3">
        <v>45045.0</v>
      </c>
      <c r="B3407" s="6">
        <v>0.11936544043625377</v>
      </c>
    </row>
    <row r="3408">
      <c r="A3408" s="3">
        <v>45046.0</v>
      </c>
      <c r="B3408" s="6">
        <v>0.11936544043625377</v>
      </c>
    </row>
    <row r="3409">
      <c r="A3409" s="3">
        <v>45047.0</v>
      </c>
      <c r="B3409" s="6">
        <v>0.11936544043625377</v>
      </c>
    </row>
    <row r="3410">
      <c r="A3410" s="3">
        <v>45048.0</v>
      </c>
      <c r="B3410" s="6">
        <v>0.11936544043625377</v>
      </c>
    </row>
    <row r="3411">
      <c r="A3411" s="3">
        <v>45049.0</v>
      </c>
      <c r="B3411" s="6">
        <v>0.11936544043625377</v>
      </c>
    </row>
    <row r="3412">
      <c r="A3412" s="3">
        <v>45050.0</v>
      </c>
      <c r="B3412" s="6">
        <v>0.11936544043625377</v>
      </c>
    </row>
    <row r="3413">
      <c r="A3413" s="3">
        <v>45051.0</v>
      </c>
      <c r="B3413" s="6">
        <v>0.11936544043625377</v>
      </c>
    </row>
    <row r="3414">
      <c r="A3414" s="3">
        <v>45052.0</v>
      </c>
      <c r="B3414" s="6">
        <v>0.11936544043625377</v>
      </c>
    </row>
    <row r="3415">
      <c r="A3415" s="3">
        <v>45053.0</v>
      </c>
      <c r="B3415" s="6">
        <v>0.11936544043625377</v>
      </c>
    </row>
    <row r="3416">
      <c r="A3416" s="3">
        <v>45054.0</v>
      </c>
      <c r="B3416" s="6">
        <v>0.11936544043625377</v>
      </c>
    </row>
    <row r="3417">
      <c r="A3417" s="3">
        <v>45055.0</v>
      </c>
      <c r="B3417" s="6">
        <v>0.11936544043625377</v>
      </c>
    </row>
    <row r="3418">
      <c r="A3418" s="3">
        <v>45056.0</v>
      </c>
      <c r="B3418" s="6">
        <v>0.11936544043625377</v>
      </c>
    </row>
    <row r="3419">
      <c r="A3419" s="3">
        <v>45057.0</v>
      </c>
      <c r="B3419" s="6">
        <v>0.11936544043625377</v>
      </c>
    </row>
    <row r="3420">
      <c r="A3420" s="3">
        <v>45058.0</v>
      </c>
      <c r="B3420" s="6">
        <v>0.11936544043625377</v>
      </c>
    </row>
    <row r="3421">
      <c r="A3421" s="3">
        <v>45059.0</v>
      </c>
      <c r="B3421" s="6">
        <v>0.11936544043625377</v>
      </c>
    </row>
    <row r="3422">
      <c r="A3422" s="3">
        <v>45060.0</v>
      </c>
      <c r="B3422" s="6">
        <v>0.11936544043625377</v>
      </c>
    </row>
    <row r="3423">
      <c r="A3423" s="3">
        <v>45061.0</v>
      </c>
      <c r="B3423" s="6">
        <v>0.11936544043625377</v>
      </c>
    </row>
    <row r="3424">
      <c r="A3424" s="3">
        <v>45062.0</v>
      </c>
      <c r="B3424" s="6">
        <v>0.11936544043625377</v>
      </c>
    </row>
    <row r="3425">
      <c r="A3425" s="3">
        <v>45063.0</v>
      </c>
      <c r="B3425" s="6">
        <v>0.11936544043625377</v>
      </c>
    </row>
    <row r="3426">
      <c r="A3426" s="3">
        <v>45064.0</v>
      </c>
      <c r="B3426" s="6">
        <v>0.11936544043625377</v>
      </c>
    </row>
    <row r="3427">
      <c r="A3427" s="3">
        <v>45065.0</v>
      </c>
      <c r="B3427" s="6">
        <v>0.11936544043625377</v>
      </c>
    </row>
    <row r="3428">
      <c r="A3428" s="3">
        <v>45066.0</v>
      </c>
      <c r="B3428" s="6">
        <v>0.11936544043625377</v>
      </c>
    </row>
    <row r="3429">
      <c r="A3429" s="3">
        <v>45067.0</v>
      </c>
      <c r="B3429" s="6">
        <v>0.11936544043625377</v>
      </c>
    </row>
    <row r="3430">
      <c r="A3430" s="3">
        <v>45068.0</v>
      </c>
      <c r="B3430" s="6">
        <v>0.11936544043625377</v>
      </c>
    </row>
    <row r="3431">
      <c r="A3431" s="3">
        <v>45069.0</v>
      </c>
      <c r="B3431" s="6">
        <v>0.11936544043625377</v>
      </c>
    </row>
    <row r="3432">
      <c r="A3432" s="3">
        <v>45070.0</v>
      </c>
      <c r="B3432" s="6">
        <v>0.11936544043625377</v>
      </c>
    </row>
    <row r="3433">
      <c r="A3433" s="3">
        <v>45071.0</v>
      </c>
      <c r="B3433" s="6">
        <v>0.11936544043625377</v>
      </c>
    </row>
    <row r="3434">
      <c r="A3434" s="3">
        <v>45072.0</v>
      </c>
      <c r="B3434" s="6">
        <v>0.11936544043625377</v>
      </c>
    </row>
    <row r="3435">
      <c r="A3435" s="3">
        <v>45073.0</v>
      </c>
      <c r="B3435" s="6">
        <v>0.11936544043625377</v>
      </c>
    </row>
    <row r="3436">
      <c r="A3436" s="3">
        <v>45074.0</v>
      </c>
      <c r="B3436" s="6">
        <v>0.11936544043625377</v>
      </c>
    </row>
    <row r="3437">
      <c r="A3437" s="3">
        <v>45075.0</v>
      </c>
      <c r="B3437" s="6">
        <v>0.11936544043625377</v>
      </c>
    </row>
    <row r="3438">
      <c r="A3438" s="3">
        <v>45076.0</v>
      </c>
      <c r="B3438" s="6">
        <v>0.11936544043625377</v>
      </c>
    </row>
    <row r="3439">
      <c r="A3439" s="3">
        <v>45077.0</v>
      </c>
      <c r="B3439" s="6">
        <v>0.11936544043625377</v>
      </c>
    </row>
    <row r="3440">
      <c r="A3440" s="3">
        <v>45078.0</v>
      </c>
      <c r="B3440" s="6">
        <v>0.11936544043625377</v>
      </c>
    </row>
    <row r="3441">
      <c r="A3441" s="3">
        <v>45079.0</v>
      </c>
      <c r="B3441" s="6">
        <v>0.11936544043625377</v>
      </c>
    </row>
    <row r="3442">
      <c r="A3442" s="3">
        <v>45080.0</v>
      </c>
      <c r="B3442" s="6">
        <v>0.11936544043625377</v>
      </c>
    </row>
    <row r="3443">
      <c r="A3443" s="3">
        <v>45081.0</v>
      </c>
      <c r="B3443" s="6">
        <v>0.11936544043625377</v>
      </c>
    </row>
    <row r="3444">
      <c r="A3444" s="3">
        <v>45082.0</v>
      </c>
      <c r="B3444" s="6">
        <v>0.11936544043625377</v>
      </c>
    </row>
    <row r="3445">
      <c r="A3445" s="3">
        <v>45083.0</v>
      </c>
      <c r="B3445" s="6">
        <v>0.11936544043625377</v>
      </c>
    </row>
    <row r="3446">
      <c r="A3446" s="3">
        <v>45084.0</v>
      </c>
      <c r="B3446" s="6">
        <v>0.11936544043625377</v>
      </c>
    </row>
    <row r="3447">
      <c r="A3447" s="3">
        <v>45085.0</v>
      </c>
      <c r="B3447" s="6">
        <v>0.11936544043625377</v>
      </c>
    </row>
    <row r="3448">
      <c r="A3448" s="3">
        <v>45086.0</v>
      </c>
      <c r="B3448" s="6">
        <v>0.11936544043625377</v>
      </c>
    </row>
    <row r="3449">
      <c r="A3449" s="3">
        <v>45087.0</v>
      </c>
      <c r="B3449" s="6">
        <v>0.11936544043625377</v>
      </c>
    </row>
    <row r="3450">
      <c r="A3450" s="3">
        <v>45088.0</v>
      </c>
      <c r="B3450" s="6">
        <v>0.11936544043625377</v>
      </c>
    </row>
    <row r="3451">
      <c r="A3451" s="3">
        <v>45089.0</v>
      </c>
      <c r="B3451" s="6">
        <v>0.11936544043625377</v>
      </c>
    </row>
    <row r="3452">
      <c r="A3452" s="3">
        <v>45090.0</v>
      </c>
      <c r="B3452" s="6">
        <v>0.11936544043625377</v>
      </c>
    </row>
    <row r="3453">
      <c r="A3453" s="3">
        <v>45091.0</v>
      </c>
      <c r="B3453" s="6">
        <v>0.11936544043625377</v>
      </c>
    </row>
    <row r="3454">
      <c r="A3454" s="3">
        <v>45092.0</v>
      </c>
      <c r="B3454" s="6">
        <v>0.11936544043625377</v>
      </c>
    </row>
    <row r="3455">
      <c r="A3455" s="3">
        <v>45093.0</v>
      </c>
      <c r="B3455" s="6">
        <v>0.11936544043625377</v>
      </c>
    </row>
    <row r="3456">
      <c r="A3456" s="3">
        <v>45094.0</v>
      </c>
      <c r="B3456" s="6">
        <v>0.11936544043625377</v>
      </c>
    </row>
    <row r="3457">
      <c r="A3457" s="3">
        <v>45095.0</v>
      </c>
      <c r="B3457" s="6">
        <v>0.11936544043625377</v>
      </c>
    </row>
    <row r="3458">
      <c r="A3458" s="3">
        <v>45096.0</v>
      </c>
      <c r="B3458" s="6">
        <v>0.11936544043625377</v>
      </c>
    </row>
    <row r="3459">
      <c r="A3459" s="3">
        <v>45097.0</v>
      </c>
      <c r="B3459" s="6">
        <v>0.11936544043625377</v>
      </c>
    </row>
    <row r="3460">
      <c r="A3460" s="3">
        <v>45098.0</v>
      </c>
      <c r="B3460" s="6">
        <v>0.11936544043625377</v>
      </c>
    </row>
    <row r="3461">
      <c r="A3461" s="3">
        <v>45099.0</v>
      </c>
      <c r="B3461" s="6">
        <v>0.11936544043625377</v>
      </c>
    </row>
    <row r="3462">
      <c r="A3462" s="3">
        <v>45100.0</v>
      </c>
      <c r="B3462" s="6">
        <v>0.11936544043625377</v>
      </c>
    </row>
    <row r="3463">
      <c r="A3463" s="3">
        <v>45101.0</v>
      </c>
      <c r="B3463" s="6">
        <v>0.11936544043625377</v>
      </c>
    </row>
    <row r="3464">
      <c r="A3464" s="3">
        <v>45102.0</v>
      </c>
      <c r="B3464" s="6">
        <v>0.11936544043625377</v>
      </c>
    </row>
    <row r="3465">
      <c r="A3465" s="3">
        <v>45103.0</v>
      </c>
      <c r="B3465" s="6">
        <v>0.11936544043625377</v>
      </c>
    </row>
    <row r="3466">
      <c r="A3466" s="3">
        <v>45104.0</v>
      </c>
      <c r="B3466" s="6">
        <v>0.11936544043625377</v>
      </c>
    </row>
    <row r="3467">
      <c r="A3467" s="3">
        <v>45105.0</v>
      </c>
      <c r="B3467" s="6">
        <v>0.11936544043625377</v>
      </c>
    </row>
    <row r="3468">
      <c r="A3468" s="3">
        <v>45106.0</v>
      </c>
      <c r="B3468" s="6">
        <v>0.11936544043625377</v>
      </c>
    </row>
    <row r="3469">
      <c r="A3469" s="3">
        <v>45107.0</v>
      </c>
      <c r="B3469" s="6">
        <v>0.11936544043625377</v>
      </c>
    </row>
    <row r="3470">
      <c r="A3470" s="3">
        <v>45108.0</v>
      </c>
      <c r="B3470" s="6">
        <v>0.1126736087022462</v>
      </c>
    </row>
    <row r="3471">
      <c r="A3471" s="3">
        <v>45109.0</v>
      </c>
      <c r="B3471" s="6">
        <v>0.1126736087022462</v>
      </c>
    </row>
    <row r="3472">
      <c r="A3472" s="3">
        <v>45110.0</v>
      </c>
      <c r="B3472" s="6">
        <v>0.1126736087022462</v>
      </c>
    </row>
    <row r="3473">
      <c r="A3473" s="3">
        <v>45111.0</v>
      </c>
      <c r="B3473" s="6">
        <v>0.1126736087022462</v>
      </c>
    </row>
    <row r="3474">
      <c r="A3474" s="3">
        <v>45112.0</v>
      </c>
      <c r="B3474" s="6">
        <v>0.1126736087022462</v>
      </c>
    </row>
    <row r="3475">
      <c r="A3475" s="3">
        <v>45113.0</v>
      </c>
      <c r="B3475" s="6">
        <v>0.1126736087022462</v>
      </c>
    </row>
    <row r="3476">
      <c r="A3476" s="3">
        <v>45114.0</v>
      </c>
      <c r="B3476" s="6">
        <v>0.1126736087022462</v>
      </c>
    </row>
    <row r="3477">
      <c r="A3477" s="3">
        <v>45115.0</v>
      </c>
      <c r="B3477" s="6">
        <v>0.1126736087022462</v>
      </c>
    </row>
    <row r="3478">
      <c r="A3478" s="3">
        <v>45116.0</v>
      </c>
      <c r="B3478" s="6">
        <v>0.1126736087022462</v>
      </c>
    </row>
    <row r="3479">
      <c r="A3479" s="3">
        <v>45117.0</v>
      </c>
      <c r="B3479" s="6">
        <v>0.1126736087022462</v>
      </c>
    </row>
    <row r="3480">
      <c r="A3480" s="3">
        <v>45118.0</v>
      </c>
      <c r="B3480" s="6">
        <v>0.1126736087022462</v>
      </c>
    </row>
    <row r="3481">
      <c r="A3481" s="3">
        <v>45119.0</v>
      </c>
      <c r="B3481" s="6">
        <v>0.1126736087022462</v>
      </c>
    </row>
    <row r="3482">
      <c r="A3482" s="3">
        <v>45120.0</v>
      </c>
      <c r="B3482" s="6">
        <v>0.1126736087022462</v>
      </c>
    </row>
    <row r="3483">
      <c r="A3483" s="3">
        <v>45121.0</v>
      </c>
      <c r="B3483" s="6">
        <v>0.1126736087022462</v>
      </c>
    </row>
    <row r="3484">
      <c r="A3484" s="3">
        <v>45122.0</v>
      </c>
      <c r="B3484" s="6">
        <v>0.1126736087022462</v>
      </c>
    </row>
    <row r="3485">
      <c r="A3485" s="3">
        <v>45123.0</v>
      </c>
      <c r="B3485" s="6">
        <v>0.1126736087022462</v>
      </c>
    </row>
    <row r="3486">
      <c r="A3486" s="3">
        <v>45124.0</v>
      </c>
      <c r="B3486" s="6">
        <v>0.1126736087022462</v>
      </c>
    </row>
    <row r="3487">
      <c r="A3487" s="3">
        <v>45125.0</v>
      </c>
      <c r="B3487" s="6">
        <v>0.1126736087022462</v>
      </c>
    </row>
    <row r="3488">
      <c r="A3488" s="3">
        <v>45126.0</v>
      </c>
      <c r="B3488" s="6">
        <v>0.1126736087022462</v>
      </c>
    </row>
    <row r="3489">
      <c r="A3489" s="3">
        <v>45127.0</v>
      </c>
      <c r="B3489" s="6">
        <v>0.1126736087022462</v>
      </c>
    </row>
    <row r="3490">
      <c r="A3490" s="3">
        <v>45128.0</v>
      </c>
      <c r="B3490" s="6">
        <v>0.1126736087022462</v>
      </c>
    </row>
    <row r="3491">
      <c r="A3491" s="3">
        <v>45129.0</v>
      </c>
      <c r="B3491" s="6">
        <v>0.1126736087022462</v>
      </c>
    </row>
    <row r="3492">
      <c r="A3492" s="3">
        <v>45130.0</v>
      </c>
      <c r="B3492" s="6">
        <v>0.1126736087022462</v>
      </c>
    </row>
    <row r="3493">
      <c r="A3493" s="3">
        <v>45131.0</v>
      </c>
      <c r="B3493" s="6">
        <v>0.1126736087022462</v>
      </c>
    </row>
    <row r="3494">
      <c r="A3494" s="3">
        <v>45132.0</v>
      </c>
      <c r="B3494" s="6">
        <v>0.1126736087022462</v>
      </c>
    </row>
    <row r="3495">
      <c r="A3495" s="3">
        <v>45133.0</v>
      </c>
      <c r="B3495" s="6">
        <v>0.1126736087022462</v>
      </c>
    </row>
    <row r="3496">
      <c r="A3496" s="3">
        <v>45134.0</v>
      </c>
      <c r="B3496" s="6">
        <v>0.1126736087022462</v>
      </c>
    </row>
    <row r="3497">
      <c r="A3497" s="3">
        <v>45135.0</v>
      </c>
      <c r="B3497" s="6">
        <v>0.1126736087022462</v>
      </c>
    </row>
    <row r="3498">
      <c r="A3498" s="3">
        <v>45136.0</v>
      </c>
      <c r="B3498" s="6">
        <v>0.1126736087022462</v>
      </c>
    </row>
    <row r="3499">
      <c r="A3499" s="3">
        <v>45137.0</v>
      </c>
      <c r="B3499" s="6">
        <v>0.1126736087022462</v>
      </c>
    </row>
    <row r="3500">
      <c r="A3500" s="3">
        <v>45138.0</v>
      </c>
      <c r="B3500" s="6">
        <v>0.1126736087022462</v>
      </c>
    </row>
    <row r="3501">
      <c r="A3501" s="3">
        <v>45139.0</v>
      </c>
      <c r="B3501" s="6">
        <v>0.1126736087022462</v>
      </c>
    </row>
    <row r="3502">
      <c r="A3502" s="3">
        <v>45140.0</v>
      </c>
      <c r="B3502" s="6">
        <v>0.1126736087022462</v>
      </c>
    </row>
    <row r="3503">
      <c r="A3503" s="3">
        <v>45141.0</v>
      </c>
      <c r="B3503" s="6">
        <v>0.1126736087022462</v>
      </c>
    </row>
    <row r="3504">
      <c r="A3504" s="3">
        <v>45142.0</v>
      </c>
      <c r="B3504" s="6">
        <v>0.1126736087022462</v>
      </c>
    </row>
    <row r="3505">
      <c r="A3505" s="3">
        <v>45143.0</v>
      </c>
      <c r="B3505" s="6">
        <v>0.1126736087022462</v>
      </c>
    </row>
    <row r="3506">
      <c r="A3506" s="3">
        <v>45144.0</v>
      </c>
      <c r="B3506" s="6">
        <v>0.1126736087022462</v>
      </c>
    </row>
    <row r="3507">
      <c r="A3507" s="3">
        <v>45145.0</v>
      </c>
      <c r="B3507" s="6">
        <v>0.1126736087022462</v>
      </c>
    </row>
    <row r="3508">
      <c r="A3508" s="3">
        <v>45146.0</v>
      </c>
      <c r="B3508" s="6">
        <v>0.1126736087022462</v>
      </c>
    </row>
    <row r="3509">
      <c r="A3509" s="3">
        <v>45147.0</v>
      </c>
      <c r="B3509" s="6">
        <v>0.1126736087022462</v>
      </c>
    </row>
    <row r="3510">
      <c r="A3510" s="3">
        <v>45148.0</v>
      </c>
      <c r="B3510" s="6">
        <v>0.1126736087022462</v>
      </c>
    </row>
    <row r="3511">
      <c r="A3511" s="3">
        <v>45149.0</v>
      </c>
      <c r="B3511" s="6">
        <v>0.1126736087022462</v>
      </c>
    </row>
    <row r="3512">
      <c r="A3512" s="3">
        <v>45150.0</v>
      </c>
      <c r="B3512" s="6">
        <v>0.1126736087022462</v>
      </c>
    </row>
    <row r="3513">
      <c r="A3513" s="3">
        <v>45151.0</v>
      </c>
      <c r="B3513" s="6">
        <v>0.1126736087022462</v>
      </c>
    </row>
    <row r="3514">
      <c r="A3514" s="3">
        <v>45152.0</v>
      </c>
      <c r="B3514" s="6">
        <v>0.1126736087022462</v>
      </c>
    </row>
    <row r="3515">
      <c r="A3515" s="3">
        <v>45153.0</v>
      </c>
      <c r="B3515" s="6">
        <v>0.1126736087022462</v>
      </c>
    </row>
    <row r="3516">
      <c r="A3516" s="3">
        <v>45154.0</v>
      </c>
      <c r="B3516" s="6">
        <v>0.1126736087022462</v>
      </c>
    </row>
    <row r="3517">
      <c r="A3517" s="3">
        <v>45155.0</v>
      </c>
      <c r="B3517" s="6">
        <v>0.1126736087022462</v>
      </c>
    </row>
    <row r="3518">
      <c r="A3518" s="3">
        <v>45156.0</v>
      </c>
      <c r="B3518" s="6">
        <v>0.1126736087022462</v>
      </c>
    </row>
    <row r="3519">
      <c r="A3519" s="3">
        <v>45157.0</v>
      </c>
      <c r="B3519" s="6">
        <v>0.1126736087022462</v>
      </c>
    </row>
    <row r="3520">
      <c r="A3520" s="3">
        <v>45158.0</v>
      </c>
      <c r="B3520" s="6">
        <v>0.1126736087022462</v>
      </c>
    </row>
    <row r="3521">
      <c r="A3521" s="3">
        <v>45159.0</v>
      </c>
      <c r="B3521" s="6">
        <v>0.1126736087022462</v>
      </c>
    </row>
    <row r="3522">
      <c r="A3522" s="3">
        <v>45160.0</v>
      </c>
      <c r="B3522" s="6">
        <v>0.1126736087022462</v>
      </c>
    </row>
    <row r="3523">
      <c r="A3523" s="3">
        <v>45161.0</v>
      </c>
      <c r="B3523" s="6">
        <v>0.1126736087022462</v>
      </c>
    </row>
    <row r="3524">
      <c r="A3524" s="3">
        <v>45162.0</v>
      </c>
      <c r="B3524" s="6">
        <v>0.1126736087022462</v>
      </c>
    </row>
    <row r="3525">
      <c r="A3525" s="3">
        <v>45163.0</v>
      </c>
      <c r="B3525" s="6">
        <v>0.1126736087022462</v>
      </c>
    </row>
    <row r="3526">
      <c r="A3526" s="3">
        <v>45164.0</v>
      </c>
      <c r="B3526" s="6">
        <v>0.1126736087022462</v>
      </c>
    </row>
    <row r="3527">
      <c r="A3527" s="3">
        <v>45165.0</v>
      </c>
      <c r="B3527" s="6">
        <v>0.1126736087022462</v>
      </c>
    </row>
    <row r="3528">
      <c r="A3528" s="3">
        <v>45166.0</v>
      </c>
      <c r="B3528" s="6">
        <v>0.1126736087022462</v>
      </c>
    </row>
    <row r="3529">
      <c r="A3529" s="3">
        <v>45167.0</v>
      </c>
      <c r="B3529" s="6">
        <v>0.1126736087022462</v>
      </c>
    </row>
    <row r="3530">
      <c r="A3530" s="3">
        <v>45168.0</v>
      </c>
      <c r="B3530" s="6">
        <v>0.1126736087022462</v>
      </c>
    </row>
    <row r="3531">
      <c r="A3531" s="3">
        <v>45169.0</v>
      </c>
      <c r="B3531" s="6">
        <v>0.1126736087022462</v>
      </c>
    </row>
    <row r="3532">
      <c r="A3532" s="3">
        <v>45170.0</v>
      </c>
      <c r="B3532" s="6">
        <v>0.1126736087022462</v>
      </c>
    </row>
    <row r="3533">
      <c r="A3533" s="3">
        <v>45171.0</v>
      </c>
      <c r="B3533" s="6">
        <v>0.1126736087022462</v>
      </c>
    </row>
    <row r="3534">
      <c r="A3534" s="3">
        <v>45172.0</v>
      </c>
      <c r="B3534" s="6">
        <v>0.1126736087022462</v>
      </c>
    </row>
    <row r="3535">
      <c r="A3535" s="3">
        <v>45173.0</v>
      </c>
      <c r="B3535" s="6">
        <v>0.1126736087022462</v>
      </c>
    </row>
    <row r="3536">
      <c r="A3536" s="3">
        <v>45174.0</v>
      </c>
      <c r="B3536" s="6">
        <v>0.1126736087022462</v>
      </c>
    </row>
    <row r="3537">
      <c r="A3537" s="3">
        <v>45175.0</v>
      </c>
      <c r="B3537" s="6">
        <v>0.1126736087022462</v>
      </c>
    </row>
    <row r="3538">
      <c r="A3538" s="3">
        <v>45176.0</v>
      </c>
      <c r="B3538" s="6">
        <v>0.1126736087022462</v>
      </c>
    </row>
    <row r="3539">
      <c r="A3539" s="3">
        <v>45177.0</v>
      </c>
      <c r="B3539" s="6">
        <v>0.1126736087022462</v>
      </c>
    </row>
    <row r="3540">
      <c r="A3540" s="3">
        <v>45178.0</v>
      </c>
      <c r="B3540" s="6">
        <v>0.1126736087022462</v>
      </c>
    </row>
    <row r="3541">
      <c r="A3541" s="3">
        <v>45179.0</v>
      </c>
      <c r="B3541" s="6">
        <v>0.1126736087022462</v>
      </c>
    </row>
    <row r="3542">
      <c r="A3542" s="3">
        <v>45180.0</v>
      </c>
      <c r="B3542" s="6">
        <v>0.1126736087022462</v>
      </c>
    </row>
    <row r="3543">
      <c r="A3543" s="3">
        <v>45181.0</v>
      </c>
      <c r="B3543" s="6">
        <v>0.1126736087022462</v>
      </c>
    </row>
    <row r="3544">
      <c r="A3544" s="3">
        <v>45182.0</v>
      </c>
      <c r="B3544" s="6">
        <v>0.1126736087022462</v>
      </c>
    </row>
    <row r="3545">
      <c r="A3545" s="3">
        <v>45183.0</v>
      </c>
      <c r="B3545" s="6">
        <v>0.1126736087022462</v>
      </c>
    </row>
    <row r="3546">
      <c r="A3546" s="3">
        <v>45184.0</v>
      </c>
      <c r="B3546" s="6">
        <v>0.1126736087022462</v>
      </c>
    </row>
    <row r="3547">
      <c r="A3547" s="3">
        <v>45185.0</v>
      </c>
      <c r="B3547" s="6">
        <v>0.1126736087022462</v>
      </c>
    </row>
    <row r="3548">
      <c r="A3548" s="3">
        <v>45186.0</v>
      </c>
      <c r="B3548" s="6">
        <v>0.1126736087022462</v>
      </c>
    </row>
    <row r="3549">
      <c r="A3549" s="3">
        <v>45187.0</v>
      </c>
      <c r="B3549" s="6">
        <v>0.1126736087022462</v>
      </c>
    </row>
    <row r="3550">
      <c r="A3550" s="3">
        <v>45188.0</v>
      </c>
      <c r="B3550" s="6">
        <v>0.1126736087022462</v>
      </c>
    </row>
    <row r="3551">
      <c r="A3551" s="3">
        <v>45189.0</v>
      </c>
      <c r="B3551" s="6">
        <v>0.1126736087022462</v>
      </c>
    </row>
    <row r="3552">
      <c r="A3552" s="3">
        <v>45190.0</v>
      </c>
      <c r="B3552" s="6">
        <v>0.1126736087022462</v>
      </c>
    </row>
    <row r="3553">
      <c r="A3553" s="3">
        <v>45191.0</v>
      </c>
      <c r="B3553" s="6">
        <v>0.1126736087022462</v>
      </c>
    </row>
    <row r="3554">
      <c r="A3554" s="3">
        <v>45192.0</v>
      </c>
      <c r="B3554" s="6">
        <v>0.1126736087022462</v>
      </c>
    </row>
    <row r="3555">
      <c r="A3555" s="3">
        <v>45193.0</v>
      </c>
      <c r="B3555" s="6">
        <v>0.1126736087022462</v>
      </c>
    </row>
    <row r="3556">
      <c r="A3556" s="3">
        <v>45194.0</v>
      </c>
      <c r="B3556" s="6">
        <v>0.1126736087022462</v>
      </c>
    </row>
    <row r="3557">
      <c r="A3557" s="3">
        <v>45195.0</v>
      </c>
      <c r="B3557" s="6">
        <v>0.1126736087022462</v>
      </c>
    </row>
    <row r="3558">
      <c r="A3558" s="3">
        <v>45196.0</v>
      </c>
      <c r="B3558" s="6">
        <v>0.1126736087022462</v>
      </c>
    </row>
    <row r="3559">
      <c r="A3559" s="3">
        <v>45197.0</v>
      </c>
      <c r="B3559" s="6">
        <v>0.1126736087022462</v>
      </c>
    </row>
    <row r="3560">
      <c r="A3560" s="3">
        <v>45198.0</v>
      </c>
      <c r="B3560" s="6">
        <v>0.1126736087022462</v>
      </c>
    </row>
    <row r="3561">
      <c r="A3561" s="3">
        <v>45199.0</v>
      </c>
      <c r="B3561" s="6">
        <v>0.1126736087022462</v>
      </c>
    </row>
    <row r="3562">
      <c r="A3562" s="3">
        <v>45200.0</v>
      </c>
      <c r="B3562" s="6">
        <v>0.1126736087022462</v>
      </c>
    </row>
    <row r="3563">
      <c r="A3563" s="3">
        <v>45201.0</v>
      </c>
      <c r="B3563" s="6">
        <v>0.1126736087022462</v>
      </c>
    </row>
    <row r="3564">
      <c r="A3564" s="3">
        <v>45202.0</v>
      </c>
      <c r="B3564" s="6">
        <v>0.1126736087022462</v>
      </c>
    </row>
    <row r="3565">
      <c r="A3565" s="3">
        <v>45203.0</v>
      </c>
      <c r="B3565" s="6">
        <v>0.1126736087022462</v>
      </c>
    </row>
    <row r="3566">
      <c r="A3566" s="3">
        <v>45204.0</v>
      </c>
      <c r="B3566" s="6">
        <v>0.1126736087022462</v>
      </c>
    </row>
    <row r="3567">
      <c r="A3567" s="3">
        <v>45205.0</v>
      </c>
      <c r="B3567" s="6">
        <v>0.1126736087022462</v>
      </c>
    </row>
    <row r="3568">
      <c r="A3568" s="3">
        <v>45206.0</v>
      </c>
      <c r="B3568" s="6">
        <v>0.1126736087022462</v>
      </c>
    </row>
    <row r="3569">
      <c r="A3569" s="3">
        <v>45207.0</v>
      </c>
      <c r="B3569" s="6">
        <v>0.1126736087022462</v>
      </c>
    </row>
    <row r="3570">
      <c r="A3570" s="3">
        <v>45208.0</v>
      </c>
      <c r="B3570" s="6">
        <v>0.1126736087022462</v>
      </c>
    </row>
    <row r="3571">
      <c r="A3571" s="3">
        <v>45209.0</v>
      </c>
      <c r="B3571" s="6">
        <v>0.1126736087022462</v>
      </c>
    </row>
    <row r="3572">
      <c r="A3572" s="3">
        <v>45210.0</v>
      </c>
      <c r="B3572" s="6">
        <v>0.1126736087022462</v>
      </c>
    </row>
    <row r="3573">
      <c r="A3573" s="3">
        <v>45211.0</v>
      </c>
      <c r="B3573" s="6">
        <v>0.1126736087022462</v>
      </c>
    </row>
    <row r="3574">
      <c r="A3574" s="3">
        <v>45212.0</v>
      </c>
      <c r="B3574" s="6">
        <v>0.1126736087022462</v>
      </c>
    </row>
    <row r="3575">
      <c r="A3575" s="3">
        <v>45213.0</v>
      </c>
      <c r="B3575" s="6">
        <v>0.1126736087022462</v>
      </c>
    </row>
    <row r="3576">
      <c r="A3576" s="3">
        <v>45214.0</v>
      </c>
      <c r="B3576" s="6">
        <v>0.1126736087022462</v>
      </c>
    </row>
    <row r="3577">
      <c r="A3577" s="3">
        <v>45215.0</v>
      </c>
      <c r="B3577" s="6">
        <v>0.1126736087022462</v>
      </c>
    </row>
    <row r="3578">
      <c r="A3578" s="3">
        <v>45216.0</v>
      </c>
      <c r="B3578" s="6">
        <v>0.1126736087022462</v>
      </c>
    </row>
    <row r="3579">
      <c r="A3579" s="3">
        <v>45217.0</v>
      </c>
      <c r="B3579" s="6">
        <v>0.1126736087022462</v>
      </c>
    </row>
    <row r="3580">
      <c r="A3580" s="3">
        <v>45218.0</v>
      </c>
      <c r="B3580" s="6">
        <v>0.1126736087022462</v>
      </c>
    </row>
    <row r="3581">
      <c r="A3581" s="3">
        <v>45219.0</v>
      </c>
      <c r="B3581" s="6">
        <v>0.1126736087022462</v>
      </c>
    </row>
    <row r="3582">
      <c r="A3582" s="3">
        <v>45220.0</v>
      </c>
      <c r="B3582" s="6">
        <v>0.1126736087022462</v>
      </c>
    </row>
    <row r="3583">
      <c r="A3583" s="3">
        <v>45221.0</v>
      </c>
      <c r="B3583" s="6">
        <v>0.1126736087022462</v>
      </c>
    </row>
    <row r="3584">
      <c r="A3584" s="3">
        <v>45222.0</v>
      </c>
      <c r="B3584" s="6">
        <v>0.1126736087022462</v>
      </c>
    </row>
    <row r="3585">
      <c r="A3585" s="3">
        <v>45223.0</v>
      </c>
      <c r="B3585" s="6">
        <v>0.1126736087022462</v>
      </c>
    </row>
    <row r="3586">
      <c r="A3586" s="3">
        <v>45224.0</v>
      </c>
      <c r="B3586" s="6">
        <v>0.1126736087022462</v>
      </c>
    </row>
    <row r="3587">
      <c r="A3587" s="3">
        <v>45225.0</v>
      </c>
      <c r="B3587" s="6">
        <v>0.1126736087022462</v>
      </c>
    </row>
    <row r="3588">
      <c r="A3588" s="3">
        <v>45226.0</v>
      </c>
      <c r="B3588" s="6">
        <v>0.1126736087022462</v>
      </c>
    </row>
    <row r="3589">
      <c r="A3589" s="3">
        <v>45227.0</v>
      </c>
      <c r="B3589" s="6">
        <v>0.1126736087022462</v>
      </c>
    </row>
    <row r="3590">
      <c r="A3590" s="3">
        <v>45228.0</v>
      </c>
      <c r="B3590" s="6">
        <v>0.1126736087022462</v>
      </c>
    </row>
    <row r="3591">
      <c r="A3591" s="3">
        <v>45229.0</v>
      </c>
      <c r="B3591" s="6">
        <v>0.1126736087022462</v>
      </c>
    </row>
    <row r="3592">
      <c r="A3592" s="3">
        <v>45230.0</v>
      </c>
      <c r="B3592" s="6">
        <v>0.1126736087022462</v>
      </c>
    </row>
    <row r="3593">
      <c r="A3593" s="3">
        <v>45231.0</v>
      </c>
      <c r="B3593" s="6">
        <v>0.1126736087022462</v>
      </c>
    </row>
    <row r="3594">
      <c r="A3594" s="3">
        <v>45232.0</v>
      </c>
      <c r="B3594" s="6">
        <v>0.1126736087022462</v>
      </c>
    </row>
    <row r="3595">
      <c r="A3595" s="3">
        <v>45233.0</v>
      </c>
      <c r="B3595" s="6">
        <v>0.1126736087022462</v>
      </c>
    </row>
    <row r="3596">
      <c r="A3596" s="3">
        <v>45234.0</v>
      </c>
      <c r="B3596" s="6">
        <v>0.1126736087022462</v>
      </c>
    </row>
    <row r="3597">
      <c r="A3597" s="3">
        <v>45235.0</v>
      </c>
      <c r="B3597" s="6">
        <v>0.1126736087022462</v>
      </c>
    </row>
    <row r="3598">
      <c r="A3598" s="3">
        <v>45236.0</v>
      </c>
      <c r="B3598" s="6">
        <v>0.1126736087022462</v>
      </c>
    </row>
    <row r="3599">
      <c r="A3599" s="3">
        <v>45237.0</v>
      </c>
      <c r="B3599" s="6">
        <v>0.1126736087022462</v>
      </c>
    </row>
    <row r="3600">
      <c r="A3600" s="3">
        <v>45238.0</v>
      </c>
      <c r="B3600" s="6">
        <v>0.1126736087022462</v>
      </c>
    </row>
    <row r="3601">
      <c r="A3601" s="3">
        <v>45239.0</v>
      </c>
      <c r="B3601" s="6">
        <v>0.1126736087022462</v>
      </c>
    </row>
    <row r="3602">
      <c r="A3602" s="3">
        <v>45240.0</v>
      </c>
      <c r="B3602" s="6">
        <v>0.1126736087022462</v>
      </c>
    </row>
    <row r="3603">
      <c r="A3603" s="3">
        <v>45241.0</v>
      </c>
      <c r="B3603" s="6">
        <v>0.1126736087022462</v>
      </c>
    </row>
    <row r="3604">
      <c r="A3604" s="3">
        <v>45242.0</v>
      </c>
      <c r="B3604" s="6">
        <v>0.1126736087022462</v>
      </c>
    </row>
    <row r="3605">
      <c r="A3605" s="3">
        <v>45243.0</v>
      </c>
      <c r="B3605" s="6">
        <v>0.1126736087022462</v>
      </c>
    </row>
    <row r="3606">
      <c r="A3606" s="3">
        <v>45244.0</v>
      </c>
      <c r="B3606" s="6">
        <v>0.1126736087022462</v>
      </c>
    </row>
    <row r="3607">
      <c r="A3607" s="3">
        <v>45245.0</v>
      </c>
      <c r="B3607" s="6">
        <v>0.1126736087022462</v>
      </c>
    </row>
    <row r="3608">
      <c r="A3608" s="3">
        <v>45246.0</v>
      </c>
      <c r="B3608" s="6">
        <v>0.1126736087022462</v>
      </c>
    </row>
    <row r="3609">
      <c r="A3609" s="3">
        <v>45247.0</v>
      </c>
      <c r="B3609" s="6">
        <v>0.1126736087022462</v>
      </c>
    </row>
    <row r="3610">
      <c r="A3610" s="3">
        <v>45248.0</v>
      </c>
      <c r="B3610" s="6">
        <v>0.1126736087022462</v>
      </c>
    </row>
    <row r="3611">
      <c r="A3611" s="3">
        <v>45249.0</v>
      </c>
      <c r="B3611" s="6">
        <v>0.1126736087022462</v>
      </c>
    </row>
    <row r="3612">
      <c r="A3612" s="3">
        <v>45250.0</v>
      </c>
      <c r="B3612" s="6">
        <v>0.1126736087022462</v>
      </c>
    </row>
    <row r="3613">
      <c r="A3613" s="3">
        <v>45251.0</v>
      </c>
      <c r="B3613" s="6">
        <v>0.1126736087022462</v>
      </c>
    </row>
    <row r="3614">
      <c r="A3614" s="3">
        <v>45252.0</v>
      </c>
      <c r="B3614" s="6">
        <v>0.1126736087022462</v>
      </c>
    </row>
    <row r="3615">
      <c r="A3615" s="3">
        <v>45253.0</v>
      </c>
      <c r="B3615" s="6">
        <v>0.1126736087022462</v>
      </c>
    </row>
    <row r="3616">
      <c r="A3616" s="3">
        <v>45254.0</v>
      </c>
      <c r="B3616" s="6">
        <v>0.1126736087022462</v>
      </c>
    </row>
    <row r="3617">
      <c r="A3617" s="3">
        <v>45255.0</v>
      </c>
      <c r="B3617" s="6">
        <v>0.1126736087022462</v>
      </c>
    </row>
    <row r="3618">
      <c r="A3618" s="3">
        <v>45256.0</v>
      </c>
      <c r="B3618" s="6">
        <v>0.1126736087022462</v>
      </c>
    </row>
    <row r="3619">
      <c r="A3619" s="3">
        <v>45257.0</v>
      </c>
      <c r="B3619" s="6">
        <v>0.1126736087022462</v>
      </c>
    </row>
    <row r="3620">
      <c r="A3620" s="3">
        <v>45258.0</v>
      </c>
      <c r="B3620" s="6">
        <v>0.1126736087022462</v>
      </c>
    </row>
    <row r="3621">
      <c r="A3621" s="3">
        <v>45259.0</v>
      </c>
      <c r="B3621" s="6">
        <v>0.1126736087022462</v>
      </c>
    </row>
    <row r="3622">
      <c r="A3622" s="3">
        <v>45260.0</v>
      </c>
      <c r="B3622" s="6">
        <v>0.1126736087022462</v>
      </c>
    </row>
    <row r="3623">
      <c r="A3623" s="3">
        <v>45261.0</v>
      </c>
      <c r="B3623" s="6">
        <v>0.1126736087022462</v>
      </c>
    </row>
    <row r="3624">
      <c r="A3624" s="3">
        <v>45262.0</v>
      </c>
      <c r="B3624" s="6">
        <v>0.1126736087022462</v>
      </c>
    </row>
    <row r="3625">
      <c r="A3625" s="3">
        <v>45263.0</v>
      </c>
      <c r="B3625" s="6">
        <v>0.1126736087022462</v>
      </c>
    </row>
    <row r="3626">
      <c r="A3626" s="3">
        <v>45264.0</v>
      </c>
      <c r="B3626" s="6">
        <v>0.1126736087022462</v>
      </c>
    </row>
    <row r="3627">
      <c r="A3627" s="3">
        <v>45265.0</v>
      </c>
      <c r="B3627" s="6">
        <v>0.1126736087022462</v>
      </c>
    </row>
    <row r="3628">
      <c r="A3628" s="3">
        <v>45266.0</v>
      </c>
      <c r="B3628" s="6">
        <v>0.1126736087022462</v>
      </c>
    </row>
    <row r="3629">
      <c r="A3629" s="3">
        <v>45267.0</v>
      </c>
      <c r="B3629" s="6">
        <v>0.1126736087022462</v>
      </c>
    </row>
    <row r="3630">
      <c r="A3630" s="3">
        <v>45268.0</v>
      </c>
      <c r="B3630" s="6">
        <v>0.1126736087022462</v>
      </c>
    </row>
    <row r="3631">
      <c r="A3631" s="3">
        <v>45269.0</v>
      </c>
      <c r="B3631" s="6">
        <v>0.1126736087022462</v>
      </c>
    </row>
    <row r="3632">
      <c r="A3632" s="3">
        <v>45270.0</v>
      </c>
      <c r="B3632" s="6">
        <v>0.1126736087022462</v>
      </c>
    </row>
    <row r="3633">
      <c r="A3633" s="3">
        <v>45271.0</v>
      </c>
      <c r="B3633" s="6">
        <v>0.1126736087022462</v>
      </c>
    </row>
    <row r="3634">
      <c r="A3634" s="3">
        <v>45272.0</v>
      </c>
      <c r="B3634" s="6">
        <v>0.1126736087022462</v>
      </c>
    </row>
    <row r="3635">
      <c r="A3635" s="3">
        <v>45273.0</v>
      </c>
      <c r="B3635" s="6">
        <v>0.1126736087022462</v>
      </c>
    </row>
    <row r="3636">
      <c r="A3636" s="3">
        <v>45274.0</v>
      </c>
      <c r="B3636" s="6">
        <v>0.1126736087022462</v>
      </c>
    </row>
    <row r="3637">
      <c r="A3637" s="3">
        <v>45275.0</v>
      </c>
      <c r="B3637" s="6">
        <v>0.1126736087022462</v>
      </c>
    </row>
    <row r="3638">
      <c r="A3638" s="3">
        <v>45276.0</v>
      </c>
      <c r="B3638" s="6">
        <v>0.1126736087022462</v>
      </c>
    </row>
    <row r="3639">
      <c r="A3639" s="3">
        <v>45277.0</v>
      </c>
      <c r="B3639" s="6">
        <v>0.1126736087022462</v>
      </c>
    </row>
    <row r="3640">
      <c r="A3640" s="3">
        <v>45278.0</v>
      </c>
      <c r="B3640" s="6">
        <v>0.1126736087022462</v>
      </c>
    </row>
    <row r="3641">
      <c r="A3641" s="3">
        <v>45279.0</v>
      </c>
      <c r="B3641" s="6">
        <v>0.1126736087022462</v>
      </c>
    </row>
    <row r="3642">
      <c r="A3642" s="3">
        <v>45280.0</v>
      </c>
      <c r="B3642" s="6">
        <v>0.1126736087022462</v>
      </c>
    </row>
    <row r="3643">
      <c r="A3643" s="3">
        <v>45281.0</v>
      </c>
      <c r="B3643" s="6">
        <v>0.1126736087022462</v>
      </c>
    </row>
    <row r="3644">
      <c r="A3644" s="3">
        <v>45282.0</v>
      </c>
      <c r="B3644" s="6">
        <v>0.1126736087022462</v>
      </c>
    </row>
    <row r="3645">
      <c r="A3645" s="3">
        <v>45283.0</v>
      </c>
      <c r="B3645" s="6">
        <v>0.1126736087022462</v>
      </c>
    </row>
    <row r="3646">
      <c r="A3646" s="3">
        <v>45284.0</v>
      </c>
      <c r="B3646" s="6">
        <v>0.1126736087022462</v>
      </c>
    </row>
    <row r="3647">
      <c r="A3647" s="3">
        <v>45285.0</v>
      </c>
      <c r="B3647" s="6">
        <v>0.1126736087022462</v>
      </c>
    </row>
    <row r="3648">
      <c r="A3648" s="3">
        <v>45286.0</v>
      </c>
      <c r="B3648" s="6">
        <v>0.1126736087022462</v>
      </c>
    </row>
    <row r="3649">
      <c r="A3649" s="3">
        <v>45287.0</v>
      </c>
      <c r="B3649" s="6">
        <v>0.1126736087022462</v>
      </c>
    </row>
    <row r="3650">
      <c r="A3650" s="3">
        <v>45288.0</v>
      </c>
      <c r="B3650" s="6">
        <v>0.1126736087022462</v>
      </c>
    </row>
    <row r="3651">
      <c r="A3651" s="3">
        <v>45289.0</v>
      </c>
      <c r="B3651" s="6">
        <v>0.1126736087022462</v>
      </c>
    </row>
    <row r="3652">
      <c r="A3652" s="3">
        <v>45290.0</v>
      </c>
      <c r="B3652" s="6">
        <v>0.1126736087022462</v>
      </c>
    </row>
    <row r="3653">
      <c r="A3653" s="3">
        <v>45291.0</v>
      </c>
      <c r="B3653" s="6">
        <v>0.1126736087022462</v>
      </c>
    </row>
    <row r="3654">
      <c r="A3654" s="3">
        <v>45292.0</v>
      </c>
      <c r="B3654" s="6">
        <v>0.10242156881165117</v>
      </c>
    </row>
    <row r="3655">
      <c r="A3655" s="3">
        <v>45293.0</v>
      </c>
      <c r="B3655" s="6">
        <v>0.10242156881165117</v>
      </c>
    </row>
    <row r="3656">
      <c r="A3656" s="3">
        <v>45294.0</v>
      </c>
      <c r="B3656" s="6">
        <v>0.10242156881165117</v>
      </c>
    </row>
    <row r="3657">
      <c r="A3657" s="3">
        <v>45295.0</v>
      </c>
      <c r="B3657" s="6">
        <v>0.10242156881165117</v>
      </c>
    </row>
    <row r="3658">
      <c r="A3658" s="3">
        <v>45296.0</v>
      </c>
      <c r="B3658" s="6">
        <v>0.10242156881165117</v>
      </c>
    </row>
    <row r="3659">
      <c r="A3659" s="3">
        <v>45297.0</v>
      </c>
      <c r="B3659" s="6">
        <v>0.10242156881165117</v>
      </c>
    </row>
    <row r="3660">
      <c r="A3660" s="3">
        <v>45298.0</v>
      </c>
      <c r="B3660" s="6">
        <v>0.10242156881165117</v>
      </c>
    </row>
    <row r="3661">
      <c r="A3661" s="3">
        <v>45299.0</v>
      </c>
      <c r="B3661" s="6">
        <v>0.10242156881165117</v>
      </c>
    </row>
    <row r="3662">
      <c r="A3662" s="3">
        <v>45300.0</v>
      </c>
      <c r="B3662" s="6">
        <v>0.10242156881165117</v>
      </c>
    </row>
    <row r="3663">
      <c r="A3663" s="3">
        <v>45301.0</v>
      </c>
      <c r="B3663" s="6">
        <v>0.10242156881165117</v>
      </c>
    </row>
    <row r="3664">
      <c r="A3664" s="3">
        <v>45302.0</v>
      </c>
      <c r="B3664" s="6">
        <v>0.10242156881165117</v>
      </c>
    </row>
    <row r="3665">
      <c r="A3665" s="3">
        <v>45303.0</v>
      </c>
      <c r="B3665" s="6">
        <v>0.10242156881165117</v>
      </c>
    </row>
    <row r="3666">
      <c r="A3666" s="3">
        <v>45304.0</v>
      </c>
      <c r="B3666" s="6">
        <v>0.10242156881165117</v>
      </c>
    </row>
    <row r="3667">
      <c r="A3667" s="3">
        <v>45305.0</v>
      </c>
      <c r="B3667" s="6">
        <v>0.10242156881165117</v>
      </c>
    </row>
    <row r="3668">
      <c r="A3668" s="3">
        <v>45306.0</v>
      </c>
      <c r="B3668" s="6">
        <v>0.10242156881165117</v>
      </c>
    </row>
    <row r="3669">
      <c r="A3669" s="3">
        <v>45307.0</v>
      </c>
      <c r="B3669" s="6">
        <v>0.10242156881165117</v>
      </c>
    </row>
    <row r="3670">
      <c r="A3670" s="3">
        <v>45308.0</v>
      </c>
      <c r="B3670" s="6">
        <v>0.10242156881165117</v>
      </c>
    </row>
    <row r="3671">
      <c r="A3671" s="3">
        <v>45309.0</v>
      </c>
      <c r="B3671" s="6">
        <v>0.10242156881165117</v>
      </c>
    </row>
    <row r="3672">
      <c r="A3672" s="3">
        <v>45310.0</v>
      </c>
      <c r="B3672" s="6">
        <v>0.10242156881165117</v>
      </c>
    </row>
    <row r="3673">
      <c r="A3673" s="3">
        <v>45311.0</v>
      </c>
      <c r="B3673" s="6">
        <v>0.10242156881165117</v>
      </c>
    </row>
    <row r="3674">
      <c r="A3674" s="3">
        <v>45312.0</v>
      </c>
      <c r="B3674" s="6">
        <v>0.10242156881165117</v>
      </c>
    </row>
    <row r="3675">
      <c r="A3675" s="3">
        <v>45313.0</v>
      </c>
      <c r="B3675" s="6">
        <v>0.10242156881165117</v>
      </c>
    </row>
    <row r="3676">
      <c r="A3676" s="3">
        <v>45314.0</v>
      </c>
      <c r="B3676" s="6">
        <v>0.10242156881165117</v>
      </c>
    </row>
    <row r="3677">
      <c r="A3677" s="3">
        <v>45315.0</v>
      </c>
      <c r="B3677" s="6">
        <v>0.10242156881165117</v>
      </c>
    </row>
    <row r="3678">
      <c r="A3678" s="3">
        <v>45316.0</v>
      </c>
      <c r="B3678" s="6">
        <v>0.10242156881165117</v>
      </c>
    </row>
    <row r="3679">
      <c r="A3679" s="3">
        <v>45317.0</v>
      </c>
      <c r="B3679" s="6">
        <v>0.10242156881165117</v>
      </c>
    </row>
    <row r="3680">
      <c r="A3680" s="3">
        <v>45318.0</v>
      </c>
      <c r="B3680" s="6">
        <v>0.10242156881165117</v>
      </c>
    </row>
    <row r="3681">
      <c r="A3681" s="3">
        <v>45319.0</v>
      </c>
      <c r="B3681" s="6">
        <v>0.10242156881165117</v>
      </c>
    </row>
    <row r="3682">
      <c r="A3682" s="3">
        <v>45320.0</v>
      </c>
      <c r="B3682" s="6">
        <v>0.10242156881165117</v>
      </c>
    </row>
    <row r="3683">
      <c r="A3683" s="3">
        <v>45321.0</v>
      </c>
      <c r="B3683" s="6">
        <v>0.10242156881165117</v>
      </c>
    </row>
    <row r="3684">
      <c r="A3684" s="3">
        <v>45322.0</v>
      </c>
      <c r="B3684" s="6">
        <v>0.10242156881165117</v>
      </c>
    </row>
    <row r="3685">
      <c r="A3685" s="3">
        <v>45323.0</v>
      </c>
      <c r="B3685" s="6">
        <v>0.10242156881165117</v>
      </c>
    </row>
    <row r="3686">
      <c r="A3686" s="3">
        <v>45324.0</v>
      </c>
      <c r="B3686" s="6">
        <v>0.10242156881165117</v>
      </c>
    </row>
    <row r="3687">
      <c r="A3687" s="3">
        <v>45325.0</v>
      </c>
      <c r="B3687" s="6">
        <v>0.10242156881165117</v>
      </c>
    </row>
    <row r="3688">
      <c r="A3688" s="3">
        <v>45326.0</v>
      </c>
      <c r="B3688" s="6">
        <v>0.10242156881165117</v>
      </c>
    </row>
    <row r="3689">
      <c r="A3689" s="3">
        <v>45327.0</v>
      </c>
      <c r="B3689" s="6">
        <v>0.10242156881165117</v>
      </c>
    </row>
    <row r="3690">
      <c r="A3690" s="3">
        <v>45328.0</v>
      </c>
      <c r="B3690" s="6">
        <v>0.10242156881165117</v>
      </c>
    </row>
    <row r="3691">
      <c r="A3691" s="3">
        <v>45329.0</v>
      </c>
      <c r="B3691" s="6">
        <v>0.10242156881165117</v>
      </c>
    </row>
    <row r="3692">
      <c r="A3692" s="3">
        <v>45330.0</v>
      </c>
      <c r="B3692" s="6">
        <v>0.10242156881165117</v>
      </c>
    </row>
    <row r="3693">
      <c r="A3693" s="3">
        <v>45331.0</v>
      </c>
      <c r="B3693" s="6">
        <v>0.10242156881165117</v>
      </c>
    </row>
    <row r="3694">
      <c r="A3694" s="3">
        <v>45332.0</v>
      </c>
      <c r="B3694" s="6">
        <v>0.10242156881165117</v>
      </c>
    </row>
    <row r="3695">
      <c r="A3695" s="3">
        <v>45333.0</v>
      </c>
      <c r="B3695" s="6">
        <v>0.10242156881165117</v>
      </c>
    </row>
    <row r="3696">
      <c r="A3696" s="3">
        <v>45334.0</v>
      </c>
      <c r="B3696" s="6">
        <v>0.10242156881165117</v>
      </c>
    </row>
    <row r="3697">
      <c r="A3697" s="3">
        <v>45335.0</v>
      </c>
      <c r="B3697" s="6">
        <v>0.10242156881165117</v>
      </c>
    </row>
    <row r="3698">
      <c r="A3698" s="3">
        <v>45336.0</v>
      </c>
      <c r="B3698" s="6">
        <v>0.10242156881165117</v>
      </c>
    </row>
    <row r="3699">
      <c r="A3699" s="3">
        <v>45337.0</v>
      </c>
      <c r="B3699" s="6">
        <v>0.10242156881165117</v>
      </c>
    </row>
    <row r="3700">
      <c r="A3700" s="3">
        <v>45338.0</v>
      </c>
      <c r="B3700" s="6">
        <v>0.10242156881165117</v>
      </c>
    </row>
    <row r="3701">
      <c r="A3701" s="3">
        <v>45339.0</v>
      </c>
      <c r="B3701" s="6">
        <v>0.10242156881165117</v>
      </c>
    </row>
    <row r="3702">
      <c r="A3702" s="3">
        <v>45340.0</v>
      </c>
      <c r="B3702" s="6">
        <v>0.10242156881165117</v>
      </c>
    </row>
    <row r="3703">
      <c r="A3703" s="3">
        <v>45341.0</v>
      </c>
      <c r="B3703" s="6">
        <v>0.10242156881165117</v>
      </c>
    </row>
    <row r="3704">
      <c r="A3704" s="3">
        <v>45342.0</v>
      </c>
      <c r="B3704" s="6">
        <v>0.10242156881165117</v>
      </c>
    </row>
    <row r="3705">
      <c r="A3705" s="3">
        <v>45343.0</v>
      </c>
      <c r="B3705" s="6">
        <v>0.10242156881165117</v>
      </c>
    </row>
    <row r="3706">
      <c r="A3706" s="3">
        <v>45344.0</v>
      </c>
      <c r="B3706" s="6">
        <v>0.10242156881165117</v>
      </c>
    </row>
    <row r="3707">
      <c r="A3707" s="3">
        <v>45345.0</v>
      </c>
      <c r="B3707" s="6">
        <v>0.10242156881165117</v>
      </c>
    </row>
    <row r="3708">
      <c r="A3708" s="3">
        <v>45346.0</v>
      </c>
      <c r="B3708" s="6">
        <v>0.10242156881165117</v>
      </c>
    </row>
    <row r="3709">
      <c r="A3709" s="3">
        <v>45347.0</v>
      </c>
      <c r="B3709" s="6">
        <v>0.10242156881165117</v>
      </c>
    </row>
    <row r="3710">
      <c r="A3710" s="3">
        <v>45348.0</v>
      </c>
      <c r="B3710" s="6">
        <v>0.10242156881165117</v>
      </c>
    </row>
    <row r="3711">
      <c r="A3711" s="3">
        <v>45349.0</v>
      </c>
      <c r="B3711" s="6">
        <v>0.10242156881165117</v>
      </c>
    </row>
    <row r="3712">
      <c r="A3712" s="3">
        <v>45350.0</v>
      </c>
      <c r="B3712" s="6">
        <v>0.10242156881165117</v>
      </c>
    </row>
    <row r="3713">
      <c r="A3713" s="3">
        <v>45351.0</v>
      </c>
      <c r="B3713" s="6">
        <v>0.10242156881165117</v>
      </c>
    </row>
    <row r="3714">
      <c r="A3714" s="3">
        <v>45352.0</v>
      </c>
      <c r="B3714" s="6">
        <v>0.10242156881165117</v>
      </c>
    </row>
    <row r="3715">
      <c r="A3715" s="3">
        <v>45353.0</v>
      </c>
      <c r="B3715" s="6">
        <v>0.10242156881165117</v>
      </c>
    </row>
    <row r="3716">
      <c r="A3716" s="3">
        <v>45354.0</v>
      </c>
      <c r="B3716" s="6">
        <v>0.10242156881165117</v>
      </c>
    </row>
    <row r="3717">
      <c r="A3717" s="3">
        <v>45355.0</v>
      </c>
      <c r="B3717" s="6">
        <v>0.10242156881165117</v>
      </c>
    </row>
    <row r="3718">
      <c r="A3718" s="3">
        <v>45356.0</v>
      </c>
      <c r="B3718" s="6">
        <v>0.10242156881165117</v>
      </c>
    </row>
    <row r="3719">
      <c r="A3719" s="3">
        <v>45357.0</v>
      </c>
      <c r="B3719" s="6">
        <v>0.10242156881165117</v>
      </c>
    </row>
    <row r="3720">
      <c r="A3720" s="3">
        <v>45358.0</v>
      </c>
      <c r="B3720" s="6">
        <v>0.10242156881165117</v>
      </c>
    </row>
    <row r="3721">
      <c r="A3721" s="3">
        <v>45359.0</v>
      </c>
      <c r="B3721" s="6">
        <v>0.10242156881165117</v>
      </c>
    </row>
    <row r="3722">
      <c r="A3722" s="3">
        <v>45360.0</v>
      </c>
      <c r="B3722" s="6">
        <v>0.10242156881165117</v>
      </c>
    </row>
    <row r="3723">
      <c r="A3723" s="3">
        <v>45361.0</v>
      </c>
      <c r="B3723" s="6">
        <v>0.10242156881165117</v>
      </c>
    </row>
    <row r="3724">
      <c r="A3724" s="3">
        <v>45362.0</v>
      </c>
      <c r="B3724" s="6">
        <v>0.10242156881165117</v>
      </c>
    </row>
    <row r="3725">
      <c r="A3725" s="3">
        <v>45363.0</v>
      </c>
      <c r="B3725" s="6">
        <v>0.10242156881165117</v>
      </c>
    </row>
    <row r="3726">
      <c r="A3726" s="3">
        <v>45364.0</v>
      </c>
      <c r="B3726" s="6">
        <v>0.10242156881165117</v>
      </c>
    </row>
    <row r="3727">
      <c r="A3727" s="3">
        <v>45365.0</v>
      </c>
      <c r="B3727" s="6">
        <v>0.10242156881165117</v>
      </c>
    </row>
    <row r="3728">
      <c r="A3728" s="3">
        <v>45366.0</v>
      </c>
      <c r="B3728" s="6">
        <v>0.10242156881165117</v>
      </c>
    </row>
    <row r="3729">
      <c r="A3729" s="3">
        <v>45367.0</v>
      </c>
      <c r="B3729" s="6">
        <v>0.10242156881165117</v>
      </c>
    </row>
    <row r="3730">
      <c r="A3730" s="3">
        <v>45368.0</v>
      </c>
      <c r="B3730" s="6">
        <v>0.10242156881165117</v>
      </c>
    </row>
    <row r="3731">
      <c r="A3731" s="3">
        <v>45369.0</v>
      </c>
      <c r="B3731" s="6">
        <v>0.10242156881165117</v>
      </c>
    </row>
    <row r="3732">
      <c r="A3732" s="3">
        <v>45370.0</v>
      </c>
      <c r="B3732" s="6">
        <v>0.10242156881165117</v>
      </c>
    </row>
    <row r="3733">
      <c r="A3733" s="3">
        <v>45371.0</v>
      </c>
      <c r="B3733" s="6">
        <v>0.10242156881165117</v>
      </c>
    </row>
    <row r="3734">
      <c r="A3734" s="3">
        <v>45372.0</v>
      </c>
      <c r="B3734" s="6">
        <v>0.10242156881165117</v>
      </c>
    </row>
    <row r="3735">
      <c r="A3735" s="3">
        <v>45373.0</v>
      </c>
      <c r="B3735" s="6">
        <v>0.10242156881165117</v>
      </c>
    </row>
    <row r="3736">
      <c r="A3736" s="3">
        <v>45374.0</v>
      </c>
      <c r="B3736" s="6">
        <v>0.10242156881165117</v>
      </c>
    </row>
    <row r="3737">
      <c r="A3737" s="3">
        <v>45375.0</v>
      </c>
      <c r="B3737" s="6">
        <v>0.10242156881165117</v>
      </c>
    </row>
    <row r="3738">
      <c r="A3738" s="3">
        <v>45376.0</v>
      </c>
      <c r="B3738" s="6">
        <v>0.10242156881165117</v>
      </c>
    </row>
    <row r="3739">
      <c r="A3739" s="3">
        <v>45377.0</v>
      </c>
      <c r="B3739" s="6">
        <v>0.10242156881165117</v>
      </c>
    </row>
    <row r="3740">
      <c r="A3740" s="3">
        <v>45378.0</v>
      </c>
      <c r="B3740" s="6">
        <v>0.10242156881165117</v>
      </c>
    </row>
    <row r="3741">
      <c r="A3741" s="3">
        <v>45379.0</v>
      </c>
      <c r="B3741" s="6">
        <v>0.10242156881165117</v>
      </c>
    </row>
    <row r="3742">
      <c r="A3742" s="3">
        <v>45380.0</v>
      </c>
      <c r="B3742" s="6">
        <v>0.10242156881165117</v>
      </c>
    </row>
    <row r="3743">
      <c r="A3743" s="3">
        <v>45381.0</v>
      </c>
      <c r="B3743" s="6">
        <v>0.10242156881165117</v>
      </c>
    </row>
    <row r="3744">
      <c r="A3744" s="3">
        <v>45382.0</v>
      </c>
      <c r="B3744" s="6">
        <v>0.10242156881165117</v>
      </c>
    </row>
    <row r="3745">
      <c r="A3745" s="3">
        <v>45383.0</v>
      </c>
      <c r="B3745" s="6">
        <v>0.10242156881165117</v>
      </c>
    </row>
    <row r="3746">
      <c r="A3746" s="3">
        <v>45384.0</v>
      </c>
      <c r="B3746" s="6">
        <v>0.10242156881165117</v>
      </c>
    </row>
    <row r="3747">
      <c r="A3747" s="3">
        <v>45385.0</v>
      </c>
      <c r="B3747" s="6">
        <v>0.10242156881165117</v>
      </c>
    </row>
    <row r="3748">
      <c r="A3748" s="3">
        <v>45386.0</v>
      </c>
      <c r="B3748" s="6">
        <v>0.10242156881165117</v>
      </c>
    </row>
    <row r="3749">
      <c r="A3749" s="3">
        <v>45387.0</v>
      </c>
      <c r="B3749" s="6">
        <v>0.10242156881165117</v>
      </c>
    </row>
    <row r="3750">
      <c r="A3750" s="3">
        <v>45388.0</v>
      </c>
      <c r="B3750" s="6">
        <v>0.10242156881165117</v>
      </c>
    </row>
    <row r="3751">
      <c r="A3751" s="3">
        <v>45389.0</v>
      </c>
      <c r="B3751" s="6">
        <v>0.10242156881165117</v>
      </c>
    </row>
    <row r="3752">
      <c r="A3752" s="3">
        <v>45390.0</v>
      </c>
      <c r="B3752" s="6">
        <v>0.10242156881165117</v>
      </c>
    </row>
    <row r="3753">
      <c r="A3753" s="3">
        <v>45391.0</v>
      </c>
      <c r="B3753" s="6">
        <v>0.10242156881165117</v>
      </c>
    </row>
    <row r="3754">
      <c r="A3754" s="3">
        <v>45392.0</v>
      </c>
      <c r="B3754" s="6">
        <v>0.10242156881165117</v>
      </c>
    </row>
    <row r="3755">
      <c r="A3755" s="3">
        <v>45393.0</v>
      </c>
      <c r="B3755" s="6">
        <v>0.10242156881165117</v>
      </c>
    </row>
    <row r="3756">
      <c r="A3756" s="3">
        <v>45394.0</v>
      </c>
      <c r="B3756" s="6">
        <v>0.10242156881165117</v>
      </c>
    </row>
    <row r="3757">
      <c r="A3757" s="3">
        <v>45395.0</v>
      </c>
      <c r="B3757" s="6">
        <v>0.10242156881165117</v>
      </c>
    </row>
    <row r="3758">
      <c r="A3758" s="3">
        <v>45396.0</v>
      </c>
      <c r="B3758" s="6">
        <v>0.10242156881165117</v>
      </c>
    </row>
    <row r="3759">
      <c r="A3759" s="3">
        <v>45397.0</v>
      </c>
      <c r="B3759" s="6">
        <v>0.10242156881165117</v>
      </c>
    </row>
    <row r="3760">
      <c r="A3760" s="3">
        <v>45398.0</v>
      </c>
      <c r="B3760" s="6">
        <v>0.10242156881165117</v>
      </c>
    </row>
    <row r="3761">
      <c r="A3761" s="3">
        <v>45399.0</v>
      </c>
      <c r="B3761" s="6">
        <v>0.10242156881165117</v>
      </c>
    </row>
    <row r="3762">
      <c r="A3762" s="3">
        <v>45400.0</v>
      </c>
      <c r="B3762" s="6">
        <v>0.10242156881165117</v>
      </c>
    </row>
    <row r="3763">
      <c r="A3763" s="3">
        <v>45401.0</v>
      </c>
      <c r="B3763" s="6">
        <v>0.10242156881165117</v>
      </c>
    </row>
    <row r="3764">
      <c r="A3764" s="3">
        <v>45402.0</v>
      </c>
      <c r="B3764" s="6">
        <v>0.10242156881165117</v>
      </c>
    </row>
    <row r="3765">
      <c r="A3765" s="3">
        <v>45403.0</v>
      </c>
      <c r="B3765" s="6">
        <v>0.10242156881165117</v>
      </c>
    </row>
    <row r="3766">
      <c r="A3766" s="3">
        <v>45404.0</v>
      </c>
      <c r="B3766" s="6">
        <v>0.10242156881165117</v>
      </c>
    </row>
    <row r="3767">
      <c r="A3767" s="3">
        <v>45405.0</v>
      </c>
      <c r="B3767" s="6">
        <v>0.10242156881165117</v>
      </c>
    </row>
    <row r="3768">
      <c r="A3768" s="3">
        <v>45406.0</v>
      </c>
      <c r="B3768" s="6">
        <v>0.10242156881165117</v>
      </c>
    </row>
    <row r="3769">
      <c r="A3769" s="3">
        <v>45407.0</v>
      </c>
      <c r="B3769" s="6">
        <v>0.10242156881165117</v>
      </c>
    </row>
    <row r="3770">
      <c r="A3770" s="3">
        <v>45408.0</v>
      </c>
      <c r="B3770" s="6">
        <v>0.10242156881165117</v>
      </c>
    </row>
    <row r="3771">
      <c r="A3771" s="3">
        <v>45409.0</v>
      </c>
      <c r="B3771" s="6">
        <v>0.10242156881165117</v>
      </c>
    </row>
    <row r="3772">
      <c r="A3772" s="3">
        <v>45410.0</v>
      </c>
      <c r="B3772" s="6">
        <v>0.10242156881165117</v>
      </c>
    </row>
    <row r="3773">
      <c r="A3773" s="3">
        <v>45411.0</v>
      </c>
      <c r="B3773" s="6">
        <v>0.10242156881165117</v>
      </c>
    </row>
    <row r="3774">
      <c r="A3774" s="3">
        <v>45412.0</v>
      </c>
      <c r="B3774" s="6">
        <v>0.10242156881165117</v>
      </c>
    </row>
    <row r="3775">
      <c r="A3775" s="3">
        <v>45413.0</v>
      </c>
      <c r="B3775" s="6">
        <v>0.10242156881165117</v>
      </c>
    </row>
    <row r="3776">
      <c r="A3776" s="3">
        <v>45414.0</v>
      </c>
      <c r="B3776" s="6">
        <v>0.10242156881165117</v>
      </c>
    </row>
    <row r="3777">
      <c r="A3777" s="3">
        <v>45415.0</v>
      </c>
      <c r="B3777" s="6">
        <v>0.10242156881165117</v>
      </c>
    </row>
    <row r="3778">
      <c r="A3778" s="3">
        <v>45416.0</v>
      </c>
      <c r="B3778" s="6">
        <v>0.10242156881165117</v>
      </c>
    </row>
    <row r="3779">
      <c r="A3779" s="3">
        <v>45417.0</v>
      </c>
      <c r="B3779" s="6">
        <v>0.10242156881165117</v>
      </c>
    </row>
    <row r="3780">
      <c r="A3780" s="3">
        <v>45418.0</v>
      </c>
      <c r="B3780" s="6">
        <v>0.10242156881165117</v>
      </c>
    </row>
    <row r="3781">
      <c r="A3781" s="3">
        <v>45419.0</v>
      </c>
      <c r="B3781" s="6">
        <v>0.10242156881165117</v>
      </c>
    </row>
    <row r="3782">
      <c r="A3782" s="3">
        <v>45420.0</v>
      </c>
      <c r="B3782" s="6">
        <v>0.10242156881165117</v>
      </c>
    </row>
    <row r="3783">
      <c r="A3783" s="3">
        <v>45421.0</v>
      </c>
      <c r="B3783" s="6">
        <v>0.10242156881165117</v>
      </c>
    </row>
    <row r="3784">
      <c r="A3784" s="3">
        <v>45422.0</v>
      </c>
      <c r="B3784" s="6">
        <v>0.10242156881165117</v>
      </c>
    </row>
    <row r="3785">
      <c r="A3785" s="3">
        <v>45423.0</v>
      </c>
      <c r="B3785" s="6">
        <v>0.10242156881165117</v>
      </c>
    </row>
    <row r="3786">
      <c r="A3786" s="3">
        <v>45424.0</v>
      </c>
      <c r="B3786" s="6">
        <v>0.10242156881165117</v>
      </c>
    </row>
    <row r="3787">
      <c r="A3787" s="3">
        <v>45425.0</v>
      </c>
      <c r="B3787" s="6">
        <v>0.10242156881165117</v>
      </c>
    </row>
    <row r="3788">
      <c r="A3788" s="3">
        <v>45426.0</v>
      </c>
      <c r="B3788" s="6">
        <v>0.10242156881165117</v>
      </c>
    </row>
    <row r="3789">
      <c r="A3789" s="3">
        <v>45427.0</v>
      </c>
      <c r="B3789" s="6">
        <v>0.10242156881165117</v>
      </c>
    </row>
    <row r="3790">
      <c r="A3790" s="3">
        <v>45428.0</v>
      </c>
      <c r="B3790" s="6">
        <v>0.10242156881165117</v>
      </c>
    </row>
    <row r="3791">
      <c r="A3791" s="3">
        <v>45429.0</v>
      </c>
      <c r="B3791" s="6">
        <v>0.10242156881165117</v>
      </c>
    </row>
    <row r="3792">
      <c r="A3792" s="3">
        <v>45430.0</v>
      </c>
      <c r="B3792" s="6">
        <v>0.10242156881165117</v>
      </c>
    </row>
    <row r="3793">
      <c r="A3793" s="3">
        <v>45431.0</v>
      </c>
      <c r="B3793" s="6">
        <v>0.10242156881165117</v>
      </c>
    </row>
    <row r="3794">
      <c r="A3794" s="3">
        <v>45432.0</v>
      </c>
      <c r="B3794" s="6">
        <v>0.10242156881165117</v>
      </c>
    </row>
    <row r="3795">
      <c r="A3795" s="3">
        <v>45433.0</v>
      </c>
      <c r="B3795" s="6">
        <v>0.10242156881165117</v>
      </c>
    </row>
    <row r="3796">
      <c r="A3796" s="3">
        <v>45434.0</v>
      </c>
      <c r="B3796" s="6">
        <v>0.10242156881165117</v>
      </c>
    </row>
    <row r="3797">
      <c r="A3797" s="3">
        <v>45435.0</v>
      </c>
      <c r="B3797" s="6">
        <v>0.10242156881165117</v>
      </c>
    </row>
    <row r="3798">
      <c r="A3798" s="3">
        <v>45436.0</v>
      </c>
      <c r="B3798" s="6">
        <v>0.10242156881165117</v>
      </c>
    </row>
    <row r="3799">
      <c r="A3799" s="3">
        <v>45437.0</v>
      </c>
      <c r="B3799" s="6">
        <v>0.10242156881165117</v>
      </c>
    </row>
    <row r="3800">
      <c r="A3800" s="3">
        <v>45438.0</v>
      </c>
      <c r="B3800" s="6">
        <v>0.10242156881165117</v>
      </c>
    </row>
    <row r="3801">
      <c r="A3801" s="3">
        <v>45439.0</v>
      </c>
      <c r="B3801" s="6">
        <v>0.10242156881165117</v>
      </c>
    </row>
    <row r="3802">
      <c r="A3802" s="3">
        <v>45440.0</v>
      </c>
      <c r="B3802" s="6">
        <v>0.10242156881165117</v>
      </c>
    </row>
    <row r="3803">
      <c r="A3803" s="3">
        <v>45441.0</v>
      </c>
      <c r="B3803" s="6">
        <v>0.10242156881165117</v>
      </c>
    </row>
    <row r="3804">
      <c r="A3804" s="3">
        <v>45442.0</v>
      </c>
      <c r="B3804" s="6">
        <v>0.10242156881165117</v>
      </c>
    </row>
    <row r="3805">
      <c r="A3805" s="3">
        <v>45443.0</v>
      </c>
      <c r="B3805" s="6">
        <v>0.10242156881165117</v>
      </c>
    </row>
    <row r="3806">
      <c r="A3806" s="3">
        <v>45444.0</v>
      </c>
      <c r="B3806" s="6">
        <v>0.10242156881165117</v>
      </c>
    </row>
    <row r="3807">
      <c r="A3807" s="3">
        <v>45445.0</v>
      </c>
      <c r="B3807" s="6">
        <v>0.10242156881165117</v>
      </c>
    </row>
    <row r="3808">
      <c r="A3808" s="3">
        <v>45446.0</v>
      </c>
      <c r="B3808" s="6">
        <v>0.10242156881165117</v>
      </c>
    </row>
    <row r="3809">
      <c r="A3809" s="3">
        <v>45447.0</v>
      </c>
      <c r="B3809" s="6">
        <v>0.10242156881165117</v>
      </c>
    </row>
    <row r="3810">
      <c r="A3810" s="3">
        <v>45448.0</v>
      </c>
      <c r="B3810" s="6">
        <v>0.10242156881165117</v>
      </c>
    </row>
    <row r="3811">
      <c r="A3811" s="3">
        <v>45449.0</v>
      </c>
      <c r="B3811" s="6">
        <v>0.10242156881165117</v>
      </c>
    </row>
    <row r="3812">
      <c r="A3812" s="3">
        <v>45450.0</v>
      </c>
      <c r="B3812" s="6">
        <v>0.10242156881165117</v>
      </c>
    </row>
    <row r="3813">
      <c r="A3813" s="3">
        <v>45451.0</v>
      </c>
      <c r="B3813" s="6">
        <v>0.10242156881165117</v>
      </c>
    </row>
    <row r="3814">
      <c r="A3814" s="3">
        <v>45452.0</v>
      </c>
      <c r="B3814" s="6">
        <v>0.10242156881165117</v>
      </c>
    </row>
    <row r="3815">
      <c r="A3815" s="3">
        <v>45453.0</v>
      </c>
      <c r="B3815" s="6">
        <v>0.10242156881165117</v>
      </c>
    </row>
    <row r="3816">
      <c r="A3816" s="3">
        <v>45454.0</v>
      </c>
      <c r="B3816" s="6">
        <v>0.10242156881165117</v>
      </c>
    </row>
    <row r="3817">
      <c r="A3817" s="3">
        <v>45455.0</v>
      </c>
      <c r="B3817" s="6">
        <v>0.10242156881165117</v>
      </c>
    </row>
    <row r="3818">
      <c r="A3818" s="3">
        <v>45456.0</v>
      </c>
      <c r="B3818" s="6">
        <v>0.10242156881165117</v>
      </c>
    </row>
    <row r="3819">
      <c r="A3819" s="3">
        <v>45457.0</v>
      </c>
      <c r="B3819" s="6">
        <v>0.10242156881165117</v>
      </c>
    </row>
    <row r="3820">
      <c r="A3820" s="3">
        <v>45458.0</v>
      </c>
      <c r="B3820" s="6">
        <v>0.10242156881165117</v>
      </c>
    </row>
    <row r="3821">
      <c r="A3821" s="3">
        <v>45459.0</v>
      </c>
      <c r="B3821" s="6">
        <v>0.10242156881165117</v>
      </c>
    </row>
    <row r="3822">
      <c r="A3822" s="3">
        <v>45460.0</v>
      </c>
      <c r="B3822" s="6">
        <v>0.10242156881165117</v>
      </c>
    </row>
    <row r="3823">
      <c r="A3823" s="3">
        <v>45461.0</v>
      </c>
      <c r="B3823" s="6">
        <v>0.10242156881165117</v>
      </c>
    </row>
    <row r="3824">
      <c r="A3824" s="3">
        <v>45462.0</v>
      </c>
      <c r="B3824" s="6">
        <v>0.10242156881165117</v>
      </c>
    </row>
    <row r="3825">
      <c r="A3825" s="3">
        <v>45463.0</v>
      </c>
      <c r="B3825" s="6">
        <v>0.10242156881165117</v>
      </c>
    </row>
    <row r="3826">
      <c r="A3826" s="3">
        <v>45464.0</v>
      </c>
      <c r="B3826" s="6">
        <v>0.10242156881165117</v>
      </c>
    </row>
    <row r="3827">
      <c r="A3827" s="3">
        <v>45465.0</v>
      </c>
      <c r="B3827" s="6">
        <v>0.10242156881165117</v>
      </c>
    </row>
    <row r="3828">
      <c r="A3828" s="3">
        <v>45466.0</v>
      </c>
      <c r="B3828" s="6">
        <v>0.10242156881165117</v>
      </c>
    </row>
    <row r="3829">
      <c r="A3829" s="3">
        <v>45467.0</v>
      </c>
      <c r="B3829" s="6">
        <v>0.10242156881165117</v>
      </c>
    </row>
    <row r="3830">
      <c r="A3830" s="3">
        <v>45468.0</v>
      </c>
      <c r="B3830" s="6">
        <v>0.10242156881165117</v>
      </c>
    </row>
    <row r="3831">
      <c r="A3831" s="3">
        <v>45469.0</v>
      </c>
      <c r="B3831" s="6">
        <v>0.10242156881165117</v>
      </c>
    </row>
    <row r="3832">
      <c r="A3832" s="3">
        <v>45470.0</v>
      </c>
      <c r="B3832" s="6">
        <v>0.10242156881165117</v>
      </c>
    </row>
    <row r="3833">
      <c r="A3833" s="3">
        <v>45471.0</v>
      </c>
      <c r="B3833" s="6">
        <v>0.10242156881165117</v>
      </c>
    </row>
    <row r="3834">
      <c r="A3834" s="3">
        <v>45472.0</v>
      </c>
      <c r="B3834" s="6">
        <v>0.10242156881165117</v>
      </c>
    </row>
    <row r="3835">
      <c r="A3835" s="3">
        <v>45473.0</v>
      </c>
      <c r="B3835" s="6">
        <v>0.10242156881165117</v>
      </c>
    </row>
    <row r="3836">
      <c r="A3836" s="3">
        <v>45474.0</v>
      </c>
      <c r="B3836" s="6">
        <v>0.09973426936124609</v>
      </c>
    </row>
    <row r="3837">
      <c r="A3837" s="3">
        <v>45475.0</v>
      </c>
      <c r="B3837" s="6">
        <v>0.09973426936124609</v>
      </c>
    </row>
    <row r="3838">
      <c r="A3838" s="3">
        <v>45476.0</v>
      </c>
      <c r="B3838" s="6">
        <v>0.09973426936124609</v>
      </c>
    </row>
    <row r="3839">
      <c r="A3839" s="3">
        <v>45477.0</v>
      </c>
      <c r="B3839" s="6">
        <v>0.09973426936124609</v>
      </c>
    </row>
    <row r="3840">
      <c r="A3840" s="3">
        <v>45478.0</v>
      </c>
      <c r="B3840" s="6">
        <v>0.09973426936124609</v>
      </c>
    </row>
    <row r="3841">
      <c r="A3841" s="3">
        <v>45479.0</v>
      </c>
      <c r="B3841" s="6">
        <v>0.09973426936124609</v>
      </c>
    </row>
    <row r="3842">
      <c r="A3842" s="3">
        <v>45480.0</v>
      </c>
      <c r="B3842" s="6">
        <v>0.09973426936124609</v>
      </c>
    </row>
    <row r="3843">
      <c r="A3843" s="3">
        <v>45481.0</v>
      </c>
      <c r="B3843" s="6">
        <v>0.09973426936124609</v>
      </c>
    </row>
    <row r="3844">
      <c r="A3844" s="3">
        <v>45482.0</v>
      </c>
      <c r="B3844" s="6">
        <v>0.09973426936124609</v>
      </c>
    </row>
    <row r="3845">
      <c r="A3845" s="3">
        <v>45483.0</v>
      </c>
      <c r="B3845" s="6">
        <v>0.09973426936124609</v>
      </c>
    </row>
    <row r="3846">
      <c r="A3846" s="3">
        <v>45484.0</v>
      </c>
      <c r="B3846" s="6">
        <v>0.09973426936124609</v>
      </c>
    </row>
    <row r="3847">
      <c r="A3847" s="3">
        <v>45485.0</v>
      </c>
      <c r="B3847" s="6">
        <v>0.09973426936124609</v>
      </c>
    </row>
    <row r="3848">
      <c r="A3848" s="3">
        <v>45486.0</v>
      </c>
      <c r="B3848" s="6">
        <v>0.09973426936124609</v>
      </c>
    </row>
    <row r="3849">
      <c r="A3849" s="3">
        <v>45487.0</v>
      </c>
      <c r="B3849" s="6">
        <v>0.09973426936124609</v>
      </c>
    </row>
    <row r="3850">
      <c r="A3850" s="3">
        <v>45488.0</v>
      </c>
      <c r="B3850" s="6">
        <v>0.09973426936124609</v>
      </c>
    </row>
    <row r="3851">
      <c r="A3851" s="3">
        <v>45489.0</v>
      </c>
      <c r="B3851" s="6">
        <v>0.09973426936124609</v>
      </c>
    </row>
    <row r="3852">
      <c r="A3852" s="3">
        <v>45490.0</v>
      </c>
      <c r="B3852" s="6">
        <v>0.09973426936124609</v>
      </c>
    </row>
    <row r="3853">
      <c r="A3853" s="3">
        <v>45491.0</v>
      </c>
      <c r="B3853" s="6">
        <v>0.09973426936124609</v>
      </c>
    </row>
    <row r="3854">
      <c r="A3854" s="3">
        <v>45492.0</v>
      </c>
      <c r="B3854" s="6">
        <v>0.09973426936124609</v>
      </c>
    </row>
    <row r="3855">
      <c r="A3855" s="3">
        <v>45493.0</v>
      </c>
      <c r="B3855" s="6">
        <v>0.09973426936124609</v>
      </c>
    </row>
    <row r="3856">
      <c r="A3856" s="3">
        <v>45494.0</v>
      </c>
      <c r="B3856" s="6">
        <v>0.09973426936124609</v>
      </c>
    </row>
    <row r="3857">
      <c r="A3857" s="3">
        <v>45495.0</v>
      </c>
      <c r="B3857" s="6">
        <v>0.09973426936124609</v>
      </c>
    </row>
    <row r="3858">
      <c r="A3858" s="3">
        <v>45496.0</v>
      </c>
      <c r="B3858" s="6">
        <v>0.09973426936124609</v>
      </c>
    </row>
    <row r="3859">
      <c r="A3859" s="3">
        <v>45497.0</v>
      </c>
      <c r="B3859" s="6">
        <v>0.09973426936124609</v>
      </c>
    </row>
    <row r="3860">
      <c r="A3860" s="3">
        <v>45498.0</v>
      </c>
      <c r="B3860" s="6">
        <v>0.09973426936124609</v>
      </c>
    </row>
    <row r="3861">
      <c r="A3861" s="3">
        <v>45499.0</v>
      </c>
      <c r="B3861" s="6">
        <v>0.09973426936124609</v>
      </c>
    </row>
    <row r="3862">
      <c r="A3862" s="3">
        <v>45500.0</v>
      </c>
      <c r="B3862" s="6">
        <v>0.09973426936124609</v>
      </c>
    </row>
    <row r="3863">
      <c r="A3863" s="3">
        <v>45501.0</v>
      </c>
      <c r="B3863" s="6">
        <v>0.09973426936124609</v>
      </c>
    </row>
    <row r="3864">
      <c r="A3864" s="3">
        <v>45502.0</v>
      </c>
      <c r="B3864" s="6">
        <v>0.09973426936124609</v>
      </c>
    </row>
    <row r="3865">
      <c r="A3865" s="3">
        <v>45503.0</v>
      </c>
      <c r="B3865" s="6">
        <v>0.09973426936124609</v>
      </c>
    </row>
    <row r="3866">
      <c r="A3866" s="3">
        <v>45504.0</v>
      </c>
      <c r="B3866" s="6">
        <v>0.09973426936124609</v>
      </c>
    </row>
    <row r="3867">
      <c r="A3867" s="3">
        <v>45505.0</v>
      </c>
      <c r="B3867" s="6">
        <v>0.09973426936124609</v>
      </c>
    </row>
    <row r="3868">
      <c r="A3868" s="3">
        <v>45506.0</v>
      </c>
      <c r="B3868" s="6">
        <v>0.09973426936124609</v>
      </c>
    </row>
    <row r="3869">
      <c r="A3869" s="3">
        <v>45507.0</v>
      </c>
      <c r="B3869" s="6">
        <v>0.09973426936124609</v>
      </c>
    </row>
    <row r="3870">
      <c r="A3870" s="3">
        <v>45508.0</v>
      </c>
      <c r="B3870" s="6">
        <v>0.09973426936124609</v>
      </c>
    </row>
    <row r="3871">
      <c r="A3871" s="3">
        <v>45509.0</v>
      </c>
      <c r="B3871" s="6">
        <v>0.09973426936124609</v>
      </c>
    </row>
    <row r="3872">
      <c r="A3872" s="3">
        <v>45510.0</v>
      </c>
      <c r="B3872" s="6">
        <v>0.09973426936124609</v>
      </c>
    </row>
    <row r="3873">
      <c r="A3873" s="3">
        <v>45511.0</v>
      </c>
      <c r="B3873" s="6">
        <v>0.09973426936124609</v>
      </c>
    </row>
    <row r="3874">
      <c r="A3874" s="3">
        <v>45512.0</v>
      </c>
      <c r="B3874" s="6">
        <v>0.09973426936124609</v>
      </c>
    </row>
    <row r="3875">
      <c r="A3875" s="3">
        <v>45513.0</v>
      </c>
      <c r="B3875" s="6">
        <v>0.09973426936124609</v>
      </c>
    </row>
    <row r="3876">
      <c r="A3876" s="3">
        <v>45514.0</v>
      </c>
      <c r="B3876" s="6">
        <v>0.09973426936124609</v>
      </c>
    </row>
    <row r="3877">
      <c r="A3877" s="3">
        <v>45515.0</v>
      </c>
      <c r="B3877" s="6">
        <v>0.09973426936124609</v>
      </c>
    </row>
    <row r="3878">
      <c r="A3878" s="3">
        <v>45516.0</v>
      </c>
      <c r="B3878" s="6">
        <v>0.09973426936124609</v>
      </c>
    </row>
    <row r="3879">
      <c r="A3879" s="3">
        <v>45517.0</v>
      </c>
      <c r="B3879" s="6">
        <v>0.09973426936124609</v>
      </c>
    </row>
    <row r="3880">
      <c r="A3880" s="3">
        <v>45518.0</v>
      </c>
      <c r="B3880" s="6">
        <v>0.09973426936124609</v>
      </c>
    </row>
    <row r="3881">
      <c r="A3881" s="3">
        <v>45519.0</v>
      </c>
      <c r="B3881" s="6">
        <v>0.09973426936124609</v>
      </c>
    </row>
    <row r="3882">
      <c r="A3882" s="3">
        <v>45520.0</v>
      </c>
      <c r="B3882" s="6">
        <v>0.09973426936124609</v>
      </c>
    </row>
    <row r="3883">
      <c r="A3883" s="3">
        <v>45521.0</v>
      </c>
      <c r="B3883" s="6">
        <v>0.09973426936124609</v>
      </c>
    </row>
    <row r="3884">
      <c r="A3884" s="3">
        <v>45522.0</v>
      </c>
      <c r="B3884" s="6">
        <v>0.09973426936124609</v>
      </c>
    </row>
    <row r="3885">
      <c r="A3885" s="3">
        <v>45523.0</v>
      </c>
      <c r="B3885" s="6">
        <v>0.09973426936124609</v>
      </c>
    </row>
    <row r="3886">
      <c r="A3886" s="3">
        <v>45524.0</v>
      </c>
      <c r="B3886" s="6">
        <v>0.09973426936124609</v>
      </c>
    </row>
    <row r="3887">
      <c r="A3887" s="3">
        <v>45525.0</v>
      </c>
      <c r="B3887" s="6">
        <v>0.09973426936124609</v>
      </c>
    </row>
    <row r="3888">
      <c r="A3888" s="3">
        <v>45526.0</v>
      </c>
      <c r="B3888" s="6">
        <v>0.09973426936124609</v>
      </c>
    </row>
    <row r="3889">
      <c r="A3889" s="3">
        <v>45527.0</v>
      </c>
      <c r="B3889" s="6">
        <v>0.09973426936124609</v>
      </c>
    </row>
    <row r="3890">
      <c r="A3890" s="3">
        <v>45528.0</v>
      </c>
      <c r="B3890" s="6">
        <v>0.09973426936124609</v>
      </c>
    </row>
    <row r="3891">
      <c r="A3891" s="3">
        <v>45529.0</v>
      </c>
      <c r="B3891" s="6">
        <v>0.09973426936124609</v>
      </c>
    </row>
    <row r="3892">
      <c r="A3892" s="3">
        <v>45530.0</v>
      </c>
      <c r="B3892" s="6">
        <v>0.09973426936124609</v>
      </c>
    </row>
    <row r="3893">
      <c r="A3893" s="3">
        <v>45531.0</v>
      </c>
      <c r="B3893" s="6">
        <v>0.09973426936124609</v>
      </c>
    </row>
    <row r="3894">
      <c r="A3894" s="3">
        <v>45532.0</v>
      </c>
      <c r="B3894" s="6">
        <v>0.09973426936124609</v>
      </c>
    </row>
    <row r="3895">
      <c r="A3895" s="3">
        <v>45533.0</v>
      </c>
      <c r="B3895" s="6">
        <v>0.09973426936124609</v>
      </c>
    </row>
    <row r="3896">
      <c r="A3896" s="3">
        <v>45534.0</v>
      </c>
      <c r="B3896" s="6">
        <v>0.09973426936124609</v>
      </c>
    </row>
    <row r="3897">
      <c r="A3897" s="3">
        <v>45535.0</v>
      </c>
      <c r="B3897" s="6">
        <v>0.09973426936124609</v>
      </c>
    </row>
    <row r="3898">
      <c r="A3898" s="3">
        <v>45536.0</v>
      </c>
      <c r="B3898" s="6">
        <v>0.09973426936124609</v>
      </c>
    </row>
    <row r="3899">
      <c r="A3899" s="3">
        <v>45537.0</v>
      </c>
      <c r="B3899" s="6">
        <v>0.09973426936124609</v>
      </c>
    </row>
    <row r="3900">
      <c r="A3900" s="3">
        <v>45538.0</v>
      </c>
      <c r="B3900" s="6">
        <v>0.09973426936124609</v>
      </c>
    </row>
    <row r="3901">
      <c r="A3901" s="3">
        <v>45539.0</v>
      </c>
      <c r="B3901" s="6">
        <v>0.09973426936124609</v>
      </c>
    </row>
    <row r="3902">
      <c r="A3902" s="3">
        <v>45540.0</v>
      </c>
      <c r="B3902" s="6">
        <v>0.09973426936124609</v>
      </c>
    </row>
    <row r="3903">
      <c r="A3903" s="3">
        <v>45541.0</v>
      </c>
      <c r="B3903" s="6">
        <v>0.09973426936124609</v>
      </c>
    </row>
    <row r="3904">
      <c r="A3904" s="3">
        <v>45542.0</v>
      </c>
      <c r="B3904" s="6">
        <v>0.09973426936124609</v>
      </c>
    </row>
    <row r="3905">
      <c r="A3905" s="3">
        <v>45543.0</v>
      </c>
      <c r="B3905" s="6">
        <v>0.09973426936124609</v>
      </c>
    </row>
    <row r="3906">
      <c r="A3906" s="3">
        <v>45544.0</v>
      </c>
      <c r="B3906" s="6">
        <v>0.09973426936124609</v>
      </c>
    </row>
    <row r="3907">
      <c r="A3907" s="3">
        <v>45545.0</v>
      </c>
      <c r="B3907" s="6">
        <v>0.09973426936124609</v>
      </c>
    </row>
    <row r="3908">
      <c r="A3908" s="3">
        <v>45546.0</v>
      </c>
      <c r="B3908" s="6">
        <v>0.09973426936124609</v>
      </c>
    </row>
    <row r="3909">
      <c r="A3909" s="3">
        <v>45547.0</v>
      </c>
      <c r="B3909" s="6">
        <v>0.09973426936124609</v>
      </c>
    </row>
    <row r="3910">
      <c r="A3910" s="3">
        <v>45548.0</v>
      </c>
      <c r="B3910" s="6">
        <v>0.09973426936124609</v>
      </c>
    </row>
    <row r="3911">
      <c r="A3911" s="3">
        <v>45549.0</v>
      </c>
      <c r="B3911" s="6">
        <v>0.09973426936124609</v>
      </c>
    </row>
    <row r="3912">
      <c r="A3912" s="3">
        <v>45550.0</v>
      </c>
      <c r="B3912" s="6">
        <v>0.09973426936124609</v>
      </c>
    </row>
    <row r="3913">
      <c r="A3913" s="3">
        <v>45551.0</v>
      </c>
      <c r="B3913" s="6">
        <v>0.09973426936124609</v>
      </c>
    </row>
    <row r="3914">
      <c r="A3914" s="3">
        <v>45552.0</v>
      </c>
      <c r="B3914" s="6">
        <v>0.09973426936124609</v>
      </c>
    </row>
    <row r="3915">
      <c r="A3915" s="3">
        <v>45553.0</v>
      </c>
      <c r="B3915" s="6">
        <v>0.09973426936124609</v>
      </c>
    </row>
    <row r="3916">
      <c r="A3916" s="3">
        <v>45554.0</v>
      </c>
      <c r="B3916" s="6">
        <v>0.09973426936124609</v>
      </c>
    </row>
    <row r="3917">
      <c r="A3917" s="3">
        <v>45555.0</v>
      </c>
      <c r="B3917" s="6">
        <v>0.09973426936124609</v>
      </c>
    </row>
    <row r="3918">
      <c r="A3918" s="3">
        <v>45556.0</v>
      </c>
      <c r="B3918" s="6">
        <v>0.09973426936124609</v>
      </c>
    </row>
    <row r="3919">
      <c r="A3919" s="3">
        <v>45557.0</v>
      </c>
      <c r="B3919" s="6">
        <v>0.09973426936124609</v>
      </c>
    </row>
    <row r="3920">
      <c r="A3920" s="3">
        <v>45558.0</v>
      </c>
      <c r="B3920" s="6">
        <v>0.09973426936124609</v>
      </c>
    </row>
    <row r="3921">
      <c r="A3921" s="3">
        <v>45559.0</v>
      </c>
      <c r="B3921" s="6">
        <v>0.09973426936124609</v>
      </c>
    </row>
    <row r="3922">
      <c r="A3922" s="3">
        <v>45560.0</v>
      </c>
      <c r="B3922" s="6">
        <v>0.09973426936124609</v>
      </c>
    </row>
    <row r="3923">
      <c r="A3923" s="3">
        <v>45561.0</v>
      </c>
      <c r="B3923" s="6">
        <v>0.09973426936124609</v>
      </c>
    </row>
    <row r="3924">
      <c r="A3924" s="3">
        <v>45562.0</v>
      </c>
      <c r="B3924" s="6">
        <v>0.09973426936124609</v>
      </c>
    </row>
    <row r="3925">
      <c r="A3925" s="3">
        <v>45563.0</v>
      </c>
      <c r="B3925" s="6">
        <v>0.09973426936124609</v>
      </c>
    </row>
    <row r="3926">
      <c r="A3926" s="3">
        <v>45564.0</v>
      </c>
      <c r="B3926" s="6">
        <v>0.09973426936124609</v>
      </c>
    </row>
    <row r="3927">
      <c r="A3927" s="3">
        <v>45565.0</v>
      </c>
      <c r="B3927" s="6">
        <v>0.09973426936124609</v>
      </c>
    </row>
    <row r="3928">
      <c r="A3928" s="3">
        <v>45566.0</v>
      </c>
      <c r="B3928" s="6">
        <v>0.09973426936124609</v>
      </c>
    </row>
    <row r="3929">
      <c r="A3929" s="3">
        <v>45567.0</v>
      </c>
      <c r="B3929" s="6">
        <v>0.09973426936124609</v>
      </c>
    </row>
    <row r="3930">
      <c r="A3930" s="3">
        <v>45568.0</v>
      </c>
      <c r="B3930" s="6">
        <v>0.09973426936124609</v>
      </c>
    </row>
    <row r="3931">
      <c r="A3931" s="3">
        <v>45569.0</v>
      </c>
      <c r="B3931" s="6">
        <v>0.09973426936124609</v>
      </c>
    </row>
    <row r="3932">
      <c r="A3932" s="3">
        <v>45570.0</v>
      </c>
      <c r="B3932" s="6">
        <v>0.09973426936124609</v>
      </c>
    </row>
    <row r="3933">
      <c r="A3933" s="3">
        <v>45571.0</v>
      </c>
      <c r="B3933" s="6">
        <v>0.09973426936124609</v>
      </c>
    </row>
    <row r="3934">
      <c r="A3934" s="3">
        <v>45572.0</v>
      </c>
      <c r="B3934" s="6">
        <v>0.09973426936124609</v>
      </c>
    </row>
    <row r="3935">
      <c r="A3935" s="3">
        <v>45573.0</v>
      </c>
      <c r="B3935" s="6">
        <v>0.09973426936124609</v>
      </c>
    </row>
    <row r="3936">
      <c r="A3936" s="3">
        <v>45574.0</v>
      </c>
      <c r="B3936" s="6">
        <v>0.09973426936124609</v>
      </c>
    </row>
    <row r="3937">
      <c r="A3937" s="3">
        <v>45575.0</v>
      </c>
      <c r="B3937" s="6">
        <v>0.09973426936124609</v>
      </c>
    </row>
    <row r="3938">
      <c r="A3938" s="3">
        <v>45576.0</v>
      </c>
      <c r="B3938" s="6">
        <v>0.09973426936124609</v>
      </c>
    </row>
    <row r="3939">
      <c r="A3939" s="3">
        <v>45577.0</v>
      </c>
      <c r="B3939" s="6">
        <v>0.09973426936124609</v>
      </c>
    </row>
    <row r="3940">
      <c r="A3940" s="3">
        <v>45578.0</v>
      </c>
      <c r="B3940" s="6">
        <v>0.09973426936124609</v>
      </c>
    </row>
    <row r="3941">
      <c r="A3941" s="3">
        <v>45579.0</v>
      </c>
      <c r="B3941" s="6">
        <v>0.09973426936124609</v>
      </c>
    </row>
    <row r="3942">
      <c r="A3942" s="3">
        <v>45580.0</v>
      </c>
      <c r="B3942" s="6">
        <v>0.09973426936124609</v>
      </c>
    </row>
    <row r="3943">
      <c r="A3943" s="3">
        <v>45581.0</v>
      </c>
      <c r="B3943" s="6">
        <v>0.09973426936124609</v>
      </c>
    </row>
    <row r="3944">
      <c r="A3944" s="3">
        <v>45582.0</v>
      </c>
      <c r="B3944" s="6">
        <v>0.09973426936124609</v>
      </c>
    </row>
    <row r="3945">
      <c r="A3945" s="3">
        <v>45583.0</v>
      </c>
      <c r="B3945" s="6">
        <v>0.09973426936124609</v>
      </c>
    </row>
    <row r="3946">
      <c r="A3946" s="3">
        <v>45584.0</v>
      </c>
      <c r="B3946" s="6">
        <v>0.09973426936124609</v>
      </c>
    </row>
    <row r="3947">
      <c r="A3947" s="3">
        <v>45585.0</v>
      </c>
      <c r="B3947" s="6">
        <v>0.09973426936124609</v>
      </c>
    </row>
    <row r="3948">
      <c r="A3948" s="3">
        <v>45586.0</v>
      </c>
      <c r="B3948" s="6">
        <v>0.09973426936124609</v>
      </c>
    </row>
    <row r="3949">
      <c r="A3949" s="3">
        <v>45587.0</v>
      </c>
      <c r="B3949" s="6">
        <v>0.09973426936124609</v>
      </c>
    </row>
    <row r="3950">
      <c r="A3950" s="3">
        <v>45588.0</v>
      </c>
      <c r="B3950" s="6">
        <v>0.09973426936124609</v>
      </c>
    </row>
    <row r="3951">
      <c r="A3951" s="3">
        <v>45589.0</v>
      </c>
      <c r="B3951" s="6">
        <v>0.09973426936124609</v>
      </c>
    </row>
    <row r="3952">
      <c r="A3952" s="3">
        <v>45590.0</v>
      </c>
      <c r="B3952" s="6">
        <v>0.09973426936124609</v>
      </c>
    </row>
    <row r="3953">
      <c r="A3953" s="3">
        <v>45591.0</v>
      </c>
      <c r="B3953" s="6">
        <v>0.09973426936124609</v>
      </c>
    </row>
    <row r="3954">
      <c r="A3954" s="3">
        <v>45592.0</v>
      </c>
      <c r="B3954" s="6">
        <v>0.09973426936124609</v>
      </c>
    </row>
    <row r="3955">
      <c r="A3955" s="3">
        <v>45593.0</v>
      </c>
      <c r="B3955" s="6">
        <v>0.09973426936124609</v>
      </c>
    </row>
    <row r="3956">
      <c r="A3956" s="3">
        <v>45594.0</v>
      </c>
      <c r="B3956" s="6">
        <v>0.09973426936124609</v>
      </c>
    </row>
    <row r="3957">
      <c r="A3957" s="3">
        <v>45595.0</v>
      </c>
      <c r="B3957" s="6">
        <v>0.09973426936124609</v>
      </c>
    </row>
    <row r="3958">
      <c r="A3958" s="3">
        <v>45596.0</v>
      </c>
      <c r="B3958" s="6">
        <v>0.09973426936124609</v>
      </c>
    </row>
    <row r="3959">
      <c r="A3959" s="3">
        <v>45597.0</v>
      </c>
      <c r="B3959" s="6">
        <v>0.09973426936124609</v>
      </c>
    </row>
    <row r="3960">
      <c r="A3960" s="3">
        <v>45598.0</v>
      </c>
      <c r="B3960" s="6">
        <v>0.09973426936124609</v>
      </c>
    </row>
    <row r="3961">
      <c r="A3961" s="3">
        <v>45599.0</v>
      </c>
      <c r="B3961" s="6">
        <v>0.09973426936124609</v>
      </c>
    </row>
    <row r="3962">
      <c r="A3962" s="3">
        <v>45600.0</v>
      </c>
      <c r="B3962" s="6">
        <v>0.09973426936124609</v>
      </c>
    </row>
    <row r="3963">
      <c r="A3963" s="3">
        <v>45601.0</v>
      </c>
      <c r="B3963" s="6">
        <v>0.09973426936124609</v>
      </c>
    </row>
    <row r="3964">
      <c r="A3964" s="3">
        <v>45602.0</v>
      </c>
      <c r="B3964" s="6">
        <v>0.09973426936124609</v>
      </c>
    </row>
    <row r="3965">
      <c r="A3965" s="3">
        <v>45603.0</v>
      </c>
      <c r="B3965" s="6">
        <v>0.09973426936124609</v>
      </c>
    </row>
    <row r="3966">
      <c r="A3966" s="3">
        <v>45604.0</v>
      </c>
      <c r="B3966" s="6">
        <v>0.09973426936124609</v>
      </c>
    </row>
    <row r="3967">
      <c r="A3967" s="3">
        <v>45605.0</v>
      </c>
      <c r="B3967" s="6">
        <v>0.09973426936124609</v>
      </c>
    </row>
    <row r="3968">
      <c r="A3968" s="3">
        <v>45606.0</v>
      </c>
      <c r="B3968" s="6">
        <v>0.09973426936124609</v>
      </c>
    </row>
    <row r="3969">
      <c r="A3969" s="3">
        <v>45607.0</v>
      </c>
      <c r="B3969" s="6">
        <v>0.09973426936124609</v>
      </c>
    </row>
    <row r="3970">
      <c r="A3970" s="3">
        <v>45608.0</v>
      </c>
      <c r="B3970" s="6">
        <v>0.09973426936124609</v>
      </c>
    </row>
    <row r="3971">
      <c r="A3971" s="3">
        <v>45609.0</v>
      </c>
      <c r="B3971" s="6">
        <v>0.09973426936124609</v>
      </c>
    </row>
    <row r="3972">
      <c r="A3972" s="3">
        <v>45610.0</v>
      </c>
      <c r="B3972" s="6">
        <v>0.09973426936124609</v>
      </c>
    </row>
    <row r="3973">
      <c r="A3973" s="3">
        <v>45611.0</v>
      </c>
      <c r="B3973" s="6">
        <v>0.09973426936124609</v>
      </c>
    </row>
    <row r="3974">
      <c r="A3974" s="3">
        <v>45612.0</v>
      </c>
      <c r="B3974" s="6">
        <v>0.09973426936124609</v>
      </c>
    </row>
    <row r="3975">
      <c r="A3975" s="3">
        <v>45613.0</v>
      </c>
      <c r="B3975" s="6">
        <v>0.09973426936124609</v>
      </c>
    </row>
    <row r="3976">
      <c r="A3976" s="3">
        <v>45614.0</v>
      </c>
      <c r="B3976" s="6">
        <v>0.09973426936124609</v>
      </c>
    </row>
    <row r="3977">
      <c r="A3977" s="3">
        <v>45615.0</v>
      </c>
      <c r="B3977" s="6">
        <v>0.09973426936124609</v>
      </c>
    </row>
    <row r="3978">
      <c r="A3978" s="3">
        <v>45616.0</v>
      </c>
      <c r="B3978" s="6">
        <v>0.09973426936124609</v>
      </c>
    </row>
    <row r="3979">
      <c r="A3979" s="3">
        <v>45617.0</v>
      </c>
      <c r="B3979" s="6">
        <v>0.09973426936124609</v>
      </c>
    </row>
    <row r="3980">
      <c r="A3980" s="3">
        <v>45618.0</v>
      </c>
      <c r="B3980" s="6">
        <v>0.09973426936124609</v>
      </c>
    </row>
    <row r="3981">
      <c r="A3981" s="3">
        <v>45619.0</v>
      </c>
      <c r="B3981" s="6">
        <v>0.09973426936124609</v>
      </c>
    </row>
    <row r="3982">
      <c r="A3982" s="3">
        <v>45620.0</v>
      </c>
      <c r="B3982" s="6">
        <v>0.09973426936124609</v>
      </c>
    </row>
    <row r="3983">
      <c r="A3983" s="3">
        <v>45621.0</v>
      </c>
      <c r="B3983" s="6">
        <v>0.09973426936124609</v>
      </c>
    </row>
    <row r="3984">
      <c r="A3984" s="3">
        <v>45622.0</v>
      </c>
      <c r="B3984" s="6">
        <v>0.09973426936124609</v>
      </c>
    </row>
    <row r="3985">
      <c r="A3985" s="3">
        <v>45623.0</v>
      </c>
      <c r="B3985" s="6">
        <v>0.09973426936124609</v>
      </c>
    </row>
    <row r="3986">
      <c r="A3986" s="3">
        <v>45624.0</v>
      </c>
      <c r="B3986" s="6">
        <v>0.09973426936124609</v>
      </c>
    </row>
    <row r="3987">
      <c r="A3987" s="3">
        <v>45625.0</v>
      </c>
      <c r="B3987" s="6">
        <v>0.09973426936124609</v>
      </c>
    </row>
    <row r="3988">
      <c r="A3988" s="3">
        <v>45626.0</v>
      </c>
      <c r="B3988" s="6">
        <v>0.09973426936124609</v>
      </c>
    </row>
    <row r="3989">
      <c r="A3989" s="3">
        <v>45627.0</v>
      </c>
      <c r="B3989" s="6">
        <v>0.09973426936124609</v>
      </c>
    </row>
    <row r="3990">
      <c r="A3990" s="3">
        <v>45628.0</v>
      </c>
      <c r="B3990" s="6">
        <v>0.09973426936124609</v>
      </c>
    </row>
    <row r="3991">
      <c r="A3991" s="3">
        <v>45629.0</v>
      </c>
      <c r="B3991" s="6">
        <v>0.09973426936124609</v>
      </c>
    </row>
    <row r="3992">
      <c r="A3992" s="3">
        <v>45630.0</v>
      </c>
      <c r="B3992" s="6">
        <v>0.09973426936124609</v>
      </c>
    </row>
    <row r="3993">
      <c r="A3993" s="3">
        <v>45631.0</v>
      </c>
      <c r="B3993" s="6">
        <v>0.09973426936124609</v>
      </c>
    </row>
    <row r="3994">
      <c r="A3994" s="3">
        <v>45632.0</v>
      </c>
      <c r="B3994" s="6">
        <v>0.09973426936124609</v>
      </c>
    </row>
    <row r="3995">
      <c r="A3995" s="3">
        <v>45633.0</v>
      </c>
      <c r="B3995" s="6">
        <v>0.09973426936124609</v>
      </c>
    </row>
    <row r="3996">
      <c r="A3996" s="3">
        <v>45634.0</v>
      </c>
      <c r="B3996" s="6">
        <v>0.09973426936124609</v>
      </c>
    </row>
    <row r="3997">
      <c r="A3997" s="3">
        <v>45635.0</v>
      </c>
      <c r="B3997" s="6">
        <v>0.09973426936124609</v>
      </c>
    </row>
    <row r="3998">
      <c r="A3998" s="3">
        <v>45636.0</v>
      </c>
      <c r="B3998" s="6">
        <v>0.09973426936124609</v>
      </c>
    </row>
    <row r="3999">
      <c r="A3999" s="3">
        <v>45637.0</v>
      </c>
      <c r="B3999" s="6">
        <v>0.09973426936124609</v>
      </c>
    </row>
    <row r="4000">
      <c r="A4000" s="3">
        <v>45638.0</v>
      </c>
      <c r="B4000" s="6">
        <v>0.09973426936124609</v>
      </c>
    </row>
    <row r="4001">
      <c r="A4001" s="3">
        <v>45639.0</v>
      </c>
      <c r="B4001" s="6">
        <v>0.09973426936124609</v>
      </c>
    </row>
    <row r="4002">
      <c r="A4002" s="3">
        <v>45640.0</v>
      </c>
      <c r="B4002" s="6">
        <v>0.09973426936124609</v>
      </c>
    </row>
    <row r="4003">
      <c r="A4003" s="3">
        <v>45641.0</v>
      </c>
      <c r="B4003" s="6">
        <v>0.09973426936124609</v>
      </c>
    </row>
    <row r="4004">
      <c r="A4004" s="3">
        <v>45642.0</v>
      </c>
      <c r="B4004" s="6">
        <v>0.09973426936124609</v>
      </c>
    </row>
    <row r="4005">
      <c r="A4005" s="3">
        <v>45643.0</v>
      </c>
      <c r="B4005" s="6">
        <v>0.09973426936124609</v>
      </c>
    </row>
    <row r="4006">
      <c r="A4006" s="3">
        <v>45644.0</v>
      </c>
      <c r="B4006" s="6">
        <v>0.09973426936124609</v>
      </c>
    </row>
    <row r="4007">
      <c r="A4007" s="3">
        <v>45645.0</v>
      </c>
      <c r="B4007" s="6">
        <v>0.09973426936124609</v>
      </c>
    </row>
    <row r="4008">
      <c r="A4008" s="3">
        <v>45646.0</v>
      </c>
      <c r="B4008" s="6">
        <v>0.09973426936124609</v>
      </c>
    </row>
    <row r="4009">
      <c r="A4009" s="3">
        <v>45647.0</v>
      </c>
      <c r="B4009" s="6">
        <v>0.09973426936124609</v>
      </c>
    </row>
    <row r="4010">
      <c r="A4010" s="3">
        <v>45648.0</v>
      </c>
      <c r="B4010" s="6">
        <v>0.09973426936124609</v>
      </c>
    </row>
    <row r="4011">
      <c r="A4011" s="3">
        <v>45649.0</v>
      </c>
      <c r="B4011" s="6">
        <v>0.09973426936124609</v>
      </c>
    </row>
    <row r="4012">
      <c r="A4012" s="3">
        <v>45650.0</v>
      </c>
      <c r="B4012" s="6">
        <v>0.09973426936124609</v>
      </c>
    </row>
    <row r="4013">
      <c r="A4013" s="3">
        <v>45651.0</v>
      </c>
      <c r="B4013" s="6">
        <v>0.09973426936124609</v>
      </c>
    </row>
    <row r="4014">
      <c r="A4014" s="3">
        <v>45652.0</v>
      </c>
      <c r="B4014" s="6">
        <v>0.09973426936124609</v>
      </c>
    </row>
    <row r="4015">
      <c r="A4015" s="3">
        <v>45653.0</v>
      </c>
      <c r="B4015" s="6">
        <v>0.09973426936124609</v>
      </c>
    </row>
    <row r="4016">
      <c r="A4016" s="3">
        <v>45654.0</v>
      </c>
      <c r="B4016" s="6">
        <v>0.09973426936124609</v>
      </c>
    </row>
    <row r="4017">
      <c r="A4017" s="3">
        <v>45655.0</v>
      </c>
      <c r="B4017" s="6">
        <v>0.09973426936124609</v>
      </c>
    </row>
    <row r="4018">
      <c r="A4018" s="3">
        <v>45656.0</v>
      </c>
      <c r="B4018" s="6">
        <v>0.09973426936124609</v>
      </c>
    </row>
    <row r="4019">
      <c r="A4019" s="3">
        <v>45657.0</v>
      </c>
      <c r="B4019" s="6">
        <v>0.09973426936124609</v>
      </c>
    </row>
    <row r="4020">
      <c r="A4020" s="3">
        <v>45658.0</v>
      </c>
      <c r="B4020" s="6">
        <v>0.09358302379430844</v>
      </c>
    </row>
    <row r="4021">
      <c r="A4021" s="3">
        <v>45659.0</v>
      </c>
      <c r="B4021" s="6">
        <v>0.09358302379430844</v>
      </c>
    </row>
    <row r="4022">
      <c r="A4022" s="3">
        <v>45660.0</v>
      </c>
      <c r="B4022" s="6">
        <v>0.09358302379430844</v>
      </c>
    </row>
    <row r="4023">
      <c r="A4023" s="3">
        <v>45661.0</v>
      </c>
      <c r="B4023" s="6">
        <v>0.09358302379430844</v>
      </c>
    </row>
    <row r="4024">
      <c r="A4024" s="3">
        <v>45662.0</v>
      </c>
      <c r="B4024" s="6">
        <v>0.09358302379430844</v>
      </c>
    </row>
    <row r="4025">
      <c r="A4025" s="3">
        <v>45663.0</v>
      </c>
      <c r="B4025" s="6">
        <v>0.09358302379430844</v>
      </c>
    </row>
    <row r="4026">
      <c r="A4026" s="3">
        <v>45664.0</v>
      </c>
      <c r="B4026" s="6">
        <v>0.09358302379430844</v>
      </c>
    </row>
    <row r="4027">
      <c r="A4027" s="3">
        <v>45665.0</v>
      </c>
      <c r="B4027" s="6">
        <v>0.09358302379430844</v>
      </c>
    </row>
    <row r="4028">
      <c r="A4028" s="3">
        <v>45666.0</v>
      </c>
      <c r="B4028" s="6">
        <v>0.09358302379430844</v>
      </c>
    </row>
    <row r="4029">
      <c r="A4029" s="3">
        <v>45667.0</v>
      </c>
      <c r="B4029" s="6">
        <v>0.09358302379430844</v>
      </c>
    </row>
    <row r="4030">
      <c r="A4030" s="3">
        <v>45668.0</v>
      </c>
      <c r="B4030" s="6">
        <v>0.09358302379430844</v>
      </c>
    </row>
    <row r="4031">
      <c r="A4031" s="3">
        <v>45669.0</v>
      </c>
      <c r="B4031" s="6">
        <v>0.09358302379430844</v>
      </c>
    </row>
    <row r="4032">
      <c r="A4032" s="3">
        <v>45670.0</v>
      </c>
      <c r="B4032" s="6">
        <v>0.09358302379430844</v>
      </c>
    </row>
    <row r="4033">
      <c r="A4033" s="3">
        <v>45671.0</v>
      </c>
      <c r="B4033" s="6">
        <v>0.09358302379430844</v>
      </c>
    </row>
    <row r="4034">
      <c r="A4034" s="3">
        <v>45672.0</v>
      </c>
      <c r="B4034" s="6">
        <v>0.09358302379430844</v>
      </c>
    </row>
    <row r="4035">
      <c r="A4035" s="3">
        <v>45673.0</v>
      </c>
      <c r="B4035" s="6">
        <v>0.09358302379430844</v>
      </c>
    </row>
    <row r="4036">
      <c r="A4036" s="3">
        <v>45674.0</v>
      </c>
      <c r="B4036" s="6">
        <v>0.09358302379430844</v>
      </c>
    </row>
    <row r="4037">
      <c r="A4037" s="3">
        <v>45675.0</v>
      </c>
      <c r="B4037" s="6">
        <v>0.09358302379430844</v>
      </c>
    </row>
    <row r="4038">
      <c r="A4038" s="3">
        <v>45676.0</v>
      </c>
      <c r="B4038" s="6">
        <v>0.09358302379430844</v>
      </c>
    </row>
    <row r="4039">
      <c r="A4039" s="3">
        <v>45677.0</v>
      </c>
      <c r="B4039" s="6">
        <v>0.09358302379430844</v>
      </c>
    </row>
    <row r="4040">
      <c r="A4040" s="3">
        <v>45678.0</v>
      </c>
      <c r="B4040" s="6">
        <v>0.09358302379430844</v>
      </c>
    </row>
    <row r="4041">
      <c r="A4041" s="3">
        <v>45679.0</v>
      </c>
      <c r="B4041" s="6">
        <v>0.09358302379430844</v>
      </c>
    </row>
    <row r="4042">
      <c r="A4042" s="3">
        <v>45680.0</v>
      </c>
      <c r="B4042" s="6">
        <v>0.09358302379430844</v>
      </c>
    </row>
    <row r="4043">
      <c r="A4043" s="3">
        <v>45681.0</v>
      </c>
      <c r="B4043" s="6">
        <v>0.09358302379430844</v>
      </c>
    </row>
    <row r="4044">
      <c r="A4044" s="3">
        <v>45682.0</v>
      </c>
      <c r="B4044" s="6">
        <v>0.09358302379430844</v>
      </c>
    </row>
    <row r="4045">
      <c r="A4045" s="3">
        <v>45683.0</v>
      </c>
      <c r="B4045" s="6">
        <v>0.09358302379430844</v>
      </c>
    </row>
    <row r="4046">
      <c r="A4046" s="3">
        <v>45684.0</v>
      </c>
      <c r="B4046" s="6">
        <v>0.09358302379430844</v>
      </c>
    </row>
    <row r="4047">
      <c r="A4047" s="3">
        <v>45685.0</v>
      </c>
      <c r="B4047" s="6">
        <v>0.09358302379430844</v>
      </c>
    </row>
    <row r="4048">
      <c r="A4048" s="3">
        <v>45686.0</v>
      </c>
      <c r="B4048" s="6">
        <v>0.09358302379430844</v>
      </c>
    </row>
    <row r="4049">
      <c r="A4049" s="3">
        <v>45687.0</v>
      </c>
      <c r="B4049" s="6">
        <v>0.09358302379430844</v>
      </c>
    </row>
    <row r="4050">
      <c r="A4050" s="3">
        <v>45688.0</v>
      </c>
      <c r="B4050" s="6">
        <v>0.09358302379430844</v>
      </c>
    </row>
    <row r="4051">
      <c r="A4051" s="3">
        <v>45689.0</v>
      </c>
      <c r="B4051" s="6">
        <v>0.09358302379430844</v>
      </c>
    </row>
    <row r="4052">
      <c r="A4052" s="3">
        <v>45690.0</v>
      </c>
      <c r="B4052" s="6">
        <v>0.09358302379430844</v>
      </c>
    </row>
    <row r="4053">
      <c r="A4053" s="3">
        <v>45691.0</v>
      </c>
      <c r="B4053" s="6">
        <v>0.09358302379430844</v>
      </c>
    </row>
    <row r="4054">
      <c r="A4054" s="3">
        <v>45692.0</v>
      </c>
      <c r="B4054" s="6">
        <v>0.09358302379430844</v>
      </c>
    </row>
    <row r="4055">
      <c r="A4055" s="3">
        <v>45693.0</v>
      </c>
      <c r="B4055" s="6">
        <v>0.09358302379430844</v>
      </c>
    </row>
    <row r="4056">
      <c r="A4056" s="3">
        <v>45694.0</v>
      </c>
      <c r="B4056" s="6">
        <v>0.09358302379430844</v>
      </c>
    </row>
    <row r="4057">
      <c r="A4057" s="3">
        <v>45695.0</v>
      </c>
      <c r="B4057" s="6">
        <v>0.09358302379430844</v>
      </c>
    </row>
    <row r="4058">
      <c r="A4058" s="3">
        <v>45696.0</v>
      </c>
      <c r="B4058" s="6">
        <v>0.09358302379430844</v>
      </c>
    </row>
    <row r="4059">
      <c r="A4059" s="3">
        <v>45697.0</v>
      </c>
      <c r="B4059" s="6">
        <v>0.09358302379430844</v>
      </c>
    </row>
    <row r="4060">
      <c r="A4060" s="3">
        <v>45698.0</v>
      </c>
      <c r="B4060" s="6">
        <v>0.09358302379430844</v>
      </c>
    </row>
    <row r="4061">
      <c r="A4061" s="3">
        <v>45699.0</v>
      </c>
      <c r="B4061" s="6">
        <v>0.09358302379430844</v>
      </c>
    </row>
    <row r="4062">
      <c r="A4062" s="3">
        <v>45700.0</v>
      </c>
      <c r="B4062" s="6">
        <v>0.09358302379430844</v>
      </c>
    </row>
    <row r="4063">
      <c r="A4063" s="3">
        <v>45701.0</v>
      </c>
      <c r="B4063" s="6">
        <v>0.09358302379430844</v>
      </c>
    </row>
    <row r="4064">
      <c r="A4064" s="3">
        <v>45702.0</v>
      </c>
      <c r="B4064" s="6">
        <v>0.09358302379430844</v>
      </c>
    </row>
    <row r="4065">
      <c r="A4065" s="3">
        <v>45703.0</v>
      </c>
      <c r="B4065" s="6">
        <v>0.09358302379430844</v>
      </c>
    </row>
    <row r="4066">
      <c r="A4066" s="3">
        <v>45704.0</v>
      </c>
      <c r="B4066" s="6">
        <v>0.09358302379430844</v>
      </c>
    </row>
    <row r="4067">
      <c r="A4067" s="3">
        <v>45705.0</v>
      </c>
      <c r="B4067" s="6">
        <v>0.09358302379430844</v>
      </c>
    </row>
    <row r="4068">
      <c r="A4068" s="3">
        <v>45706.0</v>
      </c>
      <c r="B4068" s="6">
        <v>0.09358302379430844</v>
      </c>
    </row>
    <row r="4069">
      <c r="A4069" s="3">
        <v>45707.0</v>
      </c>
      <c r="B4069" s="6">
        <v>0.09358302379430844</v>
      </c>
    </row>
    <row r="4070">
      <c r="A4070" s="3">
        <v>45708.0</v>
      </c>
      <c r="B4070" s="6">
        <v>0.09358302379430844</v>
      </c>
    </row>
    <row r="4071">
      <c r="A4071" s="3">
        <v>45709.0</v>
      </c>
      <c r="B4071" s="6">
        <v>0.09358302379430844</v>
      </c>
    </row>
    <row r="4072">
      <c r="A4072" s="3">
        <v>45710.0</v>
      </c>
      <c r="B4072" s="6">
        <v>0.09358302379430844</v>
      </c>
    </row>
    <row r="4073">
      <c r="A4073" s="3">
        <v>45711.0</v>
      </c>
      <c r="B4073" s="6">
        <v>0.09358302379430844</v>
      </c>
    </row>
    <row r="4074">
      <c r="A4074" s="3">
        <v>45712.0</v>
      </c>
      <c r="B4074" s="6">
        <v>0.09358302379430844</v>
      </c>
    </row>
    <row r="4075">
      <c r="A4075" s="3">
        <v>45713.0</v>
      </c>
      <c r="B4075" s="6">
        <v>0.09358302379430844</v>
      </c>
    </row>
    <row r="4076">
      <c r="A4076" s="3">
        <v>45714.0</v>
      </c>
      <c r="B4076" s="6">
        <v>0.09358302379430844</v>
      </c>
    </row>
    <row r="4077">
      <c r="A4077" s="3">
        <v>45715.0</v>
      </c>
      <c r="B4077" s="6">
        <v>0.09358302379430844</v>
      </c>
    </row>
    <row r="4078">
      <c r="A4078" s="3">
        <v>45716.0</v>
      </c>
      <c r="B4078" s="6">
        <v>0.09358302379430844</v>
      </c>
    </row>
    <row r="4079">
      <c r="A4079" s="3">
        <v>45717.0</v>
      </c>
      <c r="B4079" s="6">
        <v>0.09358302379430844</v>
      </c>
    </row>
    <row r="4080">
      <c r="A4080" s="3">
        <v>45718.0</v>
      </c>
      <c r="B4080" s="6">
        <v>0.09358302379430844</v>
      </c>
    </row>
    <row r="4081">
      <c r="A4081" s="3">
        <v>45719.0</v>
      </c>
      <c r="B4081" s="6">
        <v>0.09358302379430844</v>
      </c>
    </row>
    <row r="4082">
      <c r="A4082" s="3">
        <v>45720.0</v>
      </c>
      <c r="B4082" s="6">
        <v>0.09358302379430844</v>
      </c>
    </row>
    <row r="4083">
      <c r="A4083" s="3">
        <v>45721.0</v>
      </c>
      <c r="B4083" s="6">
        <v>0.09358302379430844</v>
      </c>
    </row>
    <row r="4084">
      <c r="A4084" s="3">
        <v>45722.0</v>
      </c>
      <c r="B4084" s="6">
        <v>0.09358302379430844</v>
      </c>
    </row>
    <row r="4085">
      <c r="A4085" s="3">
        <v>45723.0</v>
      </c>
      <c r="B4085" s="6">
        <v>0.09358302379430844</v>
      </c>
    </row>
    <row r="4086">
      <c r="A4086" s="3">
        <v>45724.0</v>
      </c>
      <c r="B4086" s="6">
        <v>0.09358302379430844</v>
      </c>
    </row>
    <row r="4087">
      <c r="A4087" s="3">
        <v>45725.0</v>
      </c>
      <c r="B4087" s="6">
        <v>0.09358302379430844</v>
      </c>
    </row>
    <row r="4088">
      <c r="A4088" s="3">
        <v>45726.0</v>
      </c>
      <c r="B4088" s="6">
        <v>0.09358302379430844</v>
      </c>
    </row>
    <row r="4089">
      <c r="A4089" s="3">
        <v>45727.0</v>
      </c>
      <c r="B4089" s="6">
        <v>0.09358302379430844</v>
      </c>
    </row>
    <row r="4090">
      <c r="A4090" s="3">
        <v>45728.0</v>
      </c>
      <c r="B4090" s="6">
        <v>0.09358302379430844</v>
      </c>
    </row>
    <row r="4091">
      <c r="A4091" s="3">
        <v>45729.0</v>
      </c>
      <c r="B4091" s="6">
        <v>0.09358302379430844</v>
      </c>
    </row>
    <row r="4092">
      <c r="A4092" s="3">
        <v>45730.0</v>
      </c>
      <c r="B4092" s="6">
        <v>0.09358302379430844</v>
      </c>
    </row>
    <row r="4093">
      <c r="A4093" s="3">
        <v>45731.0</v>
      </c>
      <c r="B4093" s="6">
        <v>0.09358302379430844</v>
      </c>
    </row>
    <row r="4094">
      <c r="A4094" s="3">
        <v>45732.0</v>
      </c>
      <c r="B4094" s="6">
        <v>0.09358302379430844</v>
      </c>
    </row>
    <row r="4095">
      <c r="A4095" s="3">
        <v>45733.0</v>
      </c>
      <c r="B4095" s="6">
        <v>0.09358302379430844</v>
      </c>
    </row>
    <row r="4096">
      <c r="A4096" s="3">
        <v>45734.0</v>
      </c>
      <c r="B4096" s="6">
        <v>0.09358302379430844</v>
      </c>
    </row>
    <row r="4097">
      <c r="A4097" s="3">
        <v>45735.0</v>
      </c>
      <c r="B4097" s="6">
        <v>0.09358302379430844</v>
      </c>
    </row>
    <row r="4098">
      <c r="A4098" s="3">
        <v>45736.0</v>
      </c>
      <c r="B4098" s="6">
        <v>0.09358302379430844</v>
      </c>
    </row>
    <row r="4099">
      <c r="A4099" s="3">
        <v>45737.0</v>
      </c>
      <c r="B4099" s="6">
        <v>0.09358302379430844</v>
      </c>
    </row>
    <row r="4100">
      <c r="A4100" s="3">
        <v>45738.0</v>
      </c>
      <c r="B4100" s="6">
        <v>0.09358302379430844</v>
      </c>
    </row>
    <row r="4101">
      <c r="A4101" s="3">
        <v>45739.0</v>
      </c>
      <c r="B4101" s="6">
        <v>0.09358302379430844</v>
      </c>
    </row>
    <row r="4102">
      <c r="A4102" s="3">
        <v>45740.0</v>
      </c>
      <c r="B4102" s="6">
        <v>0.09358302379430844</v>
      </c>
    </row>
    <row r="4103">
      <c r="A4103" s="3">
        <v>45741.0</v>
      </c>
      <c r="B4103" s="6">
        <v>0.09358302379430844</v>
      </c>
    </row>
    <row r="4104">
      <c r="A4104" s="3">
        <v>45742.0</v>
      </c>
      <c r="B4104" s="6">
        <v>0.09358302379430844</v>
      </c>
    </row>
    <row r="4105">
      <c r="A4105" s="3">
        <v>45743.0</v>
      </c>
      <c r="B4105" s="6">
        <v>0.09358302379430844</v>
      </c>
    </row>
    <row r="4106">
      <c r="A4106" s="3">
        <v>45744.0</v>
      </c>
      <c r="B4106" s="6">
        <v>0.09358302379430844</v>
      </c>
    </row>
    <row r="4107">
      <c r="A4107" s="3">
        <v>45745.0</v>
      </c>
      <c r="B4107" s="6">
        <v>0.09358302379430844</v>
      </c>
    </row>
    <row r="4108">
      <c r="A4108" s="3">
        <v>45746.0</v>
      </c>
      <c r="B4108" s="6">
        <v>0.09358302379430844</v>
      </c>
    </row>
    <row r="4109">
      <c r="A4109" s="3">
        <v>45747.0</v>
      </c>
      <c r="B4109" s="6">
        <v>0.09358302379430844</v>
      </c>
    </row>
    <row r="4110">
      <c r="A4110" s="3">
        <v>45748.0</v>
      </c>
      <c r="B4110" s="6">
        <v>0.09358302379430844</v>
      </c>
    </row>
    <row r="4111">
      <c r="A4111" s="3">
        <v>45749.0</v>
      </c>
      <c r="B4111" s="6">
        <v>0.09358302379430844</v>
      </c>
    </row>
    <row r="4112">
      <c r="A4112" s="3">
        <v>45750.0</v>
      </c>
      <c r="B4112" s="6">
        <v>0.09358302379430844</v>
      </c>
    </row>
    <row r="4113">
      <c r="A4113" s="3">
        <v>45751.0</v>
      </c>
      <c r="B4113" s="6">
        <v>0.09358302379430844</v>
      </c>
    </row>
    <row r="4114">
      <c r="A4114" s="3">
        <v>45752.0</v>
      </c>
      <c r="B4114" s="6">
        <v>0.09358302379430844</v>
      </c>
    </row>
    <row r="4115">
      <c r="A4115" s="3">
        <v>45753.0</v>
      </c>
      <c r="B4115" s="6">
        <v>0.09358302379430844</v>
      </c>
    </row>
    <row r="4116">
      <c r="A4116" s="3">
        <v>45754.0</v>
      </c>
      <c r="B4116" s="6">
        <v>0.09358302379430844</v>
      </c>
    </row>
    <row r="4117">
      <c r="A4117" s="3">
        <v>45755.0</v>
      </c>
      <c r="B4117" s="6">
        <v>0.09358302379430844</v>
      </c>
    </row>
    <row r="4118">
      <c r="A4118" s="3">
        <v>45756.0</v>
      </c>
      <c r="B4118" s="6">
        <v>0.09358302379430844</v>
      </c>
    </row>
    <row r="4119">
      <c r="A4119" s="3">
        <v>45757.0</v>
      </c>
      <c r="B4119" s="6">
        <v>0.09358302379430844</v>
      </c>
    </row>
    <row r="4120">
      <c r="A4120" s="3">
        <v>45758.0</v>
      </c>
      <c r="B4120" s="6">
        <v>0.09358302379430844</v>
      </c>
    </row>
    <row r="4121">
      <c r="A4121" s="3">
        <v>45759.0</v>
      </c>
      <c r="B4121" s="6">
        <v>0.09358302379430844</v>
      </c>
    </row>
    <row r="4122">
      <c r="A4122" s="3">
        <v>45760.0</v>
      </c>
      <c r="B4122" s="6">
        <v>0.09358302379430844</v>
      </c>
    </row>
    <row r="4123">
      <c r="A4123" s="3">
        <v>45761.0</v>
      </c>
      <c r="B4123" s="6">
        <v>0.09358302379430844</v>
      </c>
    </row>
    <row r="4124">
      <c r="A4124" s="3">
        <v>45762.0</v>
      </c>
      <c r="B4124" s="6">
        <v>0.09358302379430844</v>
      </c>
    </row>
    <row r="4125">
      <c r="A4125" s="3">
        <v>45763.0</v>
      </c>
      <c r="B4125" s="6">
        <v>0.09358302379430844</v>
      </c>
    </row>
    <row r="4126">
      <c r="A4126" s="3">
        <v>45764.0</v>
      </c>
      <c r="B4126" s="6">
        <v>0.09358302379430844</v>
      </c>
    </row>
    <row r="4127">
      <c r="A4127" s="3">
        <v>45765.0</v>
      </c>
      <c r="B4127" s="6">
        <v>0.09358302379430844</v>
      </c>
    </row>
    <row r="4128">
      <c r="A4128" s="3">
        <v>45766.0</v>
      </c>
      <c r="B4128" s="6">
        <v>0.09358302379430844</v>
      </c>
    </row>
    <row r="4129">
      <c r="A4129" s="3">
        <v>45767.0</v>
      </c>
      <c r="B4129" s="6">
        <v>0.09358302379430844</v>
      </c>
    </row>
    <row r="4130">
      <c r="A4130" s="3">
        <v>45768.0</v>
      </c>
      <c r="B4130" s="6">
        <v>0.09358302379430844</v>
      </c>
    </row>
    <row r="4131">
      <c r="A4131" s="3">
        <v>45769.0</v>
      </c>
      <c r="B4131" s="6">
        <v>0.09358302379430844</v>
      </c>
    </row>
    <row r="4132">
      <c r="A4132" s="3">
        <v>45770.0</v>
      </c>
      <c r="B4132" s="6">
        <v>0.09358302379430844</v>
      </c>
    </row>
    <row r="4133">
      <c r="A4133" s="3">
        <v>45771.0</v>
      </c>
      <c r="B4133" s="6">
        <v>0.09358302379430844</v>
      </c>
    </row>
    <row r="4134">
      <c r="A4134" s="3">
        <v>45772.0</v>
      </c>
      <c r="B4134" s="6">
        <v>0.09358302379430844</v>
      </c>
    </row>
    <row r="4135">
      <c r="A4135" s="3">
        <v>45773.0</v>
      </c>
      <c r="B4135" s="6">
        <v>0.09358302379430844</v>
      </c>
    </row>
    <row r="4136">
      <c r="A4136" s="3">
        <v>45774.0</v>
      </c>
      <c r="B4136" s="6">
        <v>0.09358302379430844</v>
      </c>
    </row>
    <row r="4137">
      <c r="A4137" s="3">
        <v>45775.0</v>
      </c>
      <c r="B4137" s="6">
        <v>0.09358302379430844</v>
      </c>
    </row>
    <row r="4138">
      <c r="A4138" s="3">
        <v>45776.0</v>
      </c>
      <c r="B4138" s="6">
        <v>0.09358302379430844</v>
      </c>
    </row>
    <row r="4139">
      <c r="A4139" s="3">
        <v>45777.0</v>
      </c>
      <c r="B4139" s="6">
        <v>0.09358302379430844</v>
      </c>
    </row>
    <row r="4140">
      <c r="A4140" s="3">
        <v>45778.0</v>
      </c>
      <c r="B4140" s="6">
        <v>0.09358302379430844</v>
      </c>
    </row>
    <row r="4141">
      <c r="A4141" s="3">
        <v>45779.0</v>
      </c>
      <c r="B4141" s="6">
        <v>0.09358302379430844</v>
      </c>
    </row>
    <row r="4142">
      <c r="A4142" s="3">
        <v>45780.0</v>
      </c>
      <c r="B4142" s="6">
        <v>0.09358302379430844</v>
      </c>
    </row>
    <row r="4143">
      <c r="A4143" s="3">
        <v>45781.0</v>
      </c>
      <c r="B4143" s="6">
        <v>0.09358302379430844</v>
      </c>
    </row>
    <row r="4144">
      <c r="A4144" s="3">
        <v>45782.0</v>
      </c>
      <c r="B4144" s="6">
        <v>0.09358302379430844</v>
      </c>
    </row>
    <row r="4145">
      <c r="A4145" s="3">
        <v>45783.0</v>
      </c>
      <c r="B4145" s="6">
        <v>0.09358302379430844</v>
      </c>
    </row>
    <row r="4146">
      <c r="A4146" s="3">
        <v>45784.0</v>
      </c>
      <c r="B4146" s="6">
        <v>0.09358302379430844</v>
      </c>
    </row>
    <row r="4147">
      <c r="A4147" s="3">
        <v>45785.0</v>
      </c>
      <c r="B4147" s="6">
        <v>0.09358302379430844</v>
      </c>
    </row>
    <row r="4148">
      <c r="A4148" s="3">
        <v>45786.0</v>
      </c>
      <c r="B4148" s="6">
        <v>0.09358302379430844</v>
      </c>
    </row>
    <row r="4149">
      <c r="A4149" s="3">
        <v>45787.0</v>
      </c>
      <c r="B4149" s="6">
        <v>0.09358302379430844</v>
      </c>
    </row>
    <row r="4150">
      <c r="A4150" s="3">
        <v>45788.0</v>
      </c>
      <c r="B4150" s="6">
        <v>0.09358302379430844</v>
      </c>
    </row>
    <row r="4151">
      <c r="A4151" s="3">
        <v>45789.0</v>
      </c>
      <c r="B4151" s="6">
        <v>0.09358302379430844</v>
      </c>
    </row>
    <row r="4152">
      <c r="A4152" s="3">
        <v>45790.0</v>
      </c>
      <c r="B4152" s="6">
        <v>0.09358302379430844</v>
      </c>
    </row>
    <row r="4153">
      <c r="A4153" s="3">
        <v>45791.0</v>
      </c>
      <c r="B4153" s="6">
        <v>0.09358302379430844</v>
      </c>
    </row>
    <row r="4154">
      <c r="A4154" s="3">
        <v>45792.0</v>
      </c>
      <c r="B4154" s="6">
        <v>0.09358302379430844</v>
      </c>
    </row>
    <row r="4155">
      <c r="A4155" s="3">
        <v>45793.0</v>
      </c>
      <c r="B4155" s="6">
        <v>0.09358302379430844</v>
      </c>
    </row>
    <row r="4156">
      <c r="A4156" s="3">
        <v>45794.0</v>
      </c>
      <c r="B4156" s="6">
        <v>0.09358302379430844</v>
      </c>
    </row>
    <row r="4157">
      <c r="A4157" s="3">
        <v>45795.0</v>
      </c>
      <c r="B4157" s="6">
        <v>0.09358302379430844</v>
      </c>
    </row>
    <row r="4158">
      <c r="A4158" s="3">
        <v>45796.0</v>
      </c>
      <c r="B4158" s="6">
        <v>0.09358302379430844</v>
      </c>
    </row>
    <row r="4159">
      <c r="A4159" s="3">
        <v>45797.0</v>
      </c>
      <c r="B4159" s="6">
        <v>0.09358302379430844</v>
      </c>
    </row>
    <row r="4160">
      <c r="A4160" s="3">
        <v>45798.0</v>
      </c>
      <c r="B4160" s="6">
        <v>0.09358302379430844</v>
      </c>
    </row>
    <row r="4161">
      <c r="A4161" s="3">
        <v>45799.0</v>
      </c>
      <c r="B4161" s="6">
        <v>0.09358302379430844</v>
      </c>
    </row>
    <row r="4162">
      <c r="A4162" s="3">
        <v>45800.0</v>
      </c>
      <c r="B4162" s="6">
        <v>0.09358302379430844</v>
      </c>
    </row>
    <row r="4163">
      <c r="A4163" s="3">
        <v>45801.0</v>
      </c>
      <c r="B4163" s="6">
        <v>0.09358302379430844</v>
      </c>
    </row>
    <row r="4164">
      <c r="A4164" s="3">
        <v>45802.0</v>
      </c>
      <c r="B4164" s="6">
        <v>0.09358302379430844</v>
      </c>
    </row>
    <row r="4165">
      <c r="A4165" s="3">
        <v>45803.0</v>
      </c>
      <c r="B4165" s="6">
        <v>0.09358302379430844</v>
      </c>
    </row>
    <row r="4166">
      <c r="A4166" s="3">
        <v>45804.0</v>
      </c>
      <c r="B4166" s="6">
        <v>0.09358302379430844</v>
      </c>
    </row>
    <row r="4167">
      <c r="A4167" s="3">
        <v>45805.0</v>
      </c>
      <c r="B4167" s="6">
        <v>0.09358302379430844</v>
      </c>
    </row>
    <row r="4168">
      <c r="A4168" s="3">
        <v>45806.0</v>
      </c>
      <c r="B4168" s="6">
        <v>0.09358302379430844</v>
      </c>
    </row>
    <row r="4169">
      <c r="A4169" s="3">
        <v>45807.0</v>
      </c>
      <c r="B4169" s="6">
        <v>0.09358302379430844</v>
      </c>
    </row>
    <row r="4170">
      <c r="A4170" s="3">
        <v>45808.0</v>
      </c>
      <c r="B4170" s="6">
        <v>0.09358302379430844</v>
      </c>
    </row>
    <row r="4171">
      <c r="A4171" s="3">
        <v>45809.0</v>
      </c>
      <c r="B4171" s="6">
        <v>0.09358302379430844</v>
      </c>
    </row>
    <row r="4172">
      <c r="A4172" s="3">
        <v>45810.0</v>
      </c>
      <c r="B4172" s="6">
        <v>0.09358302379430844</v>
      </c>
    </row>
    <row r="4173">
      <c r="A4173" s="3">
        <v>45811.0</v>
      </c>
      <c r="B4173" s="6">
        <v>0.09358302379430844</v>
      </c>
    </row>
    <row r="4174">
      <c r="A4174" s="3">
        <v>45812.0</v>
      </c>
      <c r="B4174" s="6">
        <v>0.09358302379430844</v>
      </c>
    </row>
    <row r="4175">
      <c r="A4175" s="3">
        <v>45813.0</v>
      </c>
      <c r="B4175" s="6">
        <v>0.09358302379430844</v>
      </c>
    </row>
    <row r="4176">
      <c r="A4176" s="3">
        <v>45814.0</v>
      </c>
      <c r="B4176" s="6">
        <v>0.09358302379430844</v>
      </c>
    </row>
    <row r="4177">
      <c r="A4177" s="3">
        <v>45815.0</v>
      </c>
      <c r="B4177" s="6">
        <v>0.09358302379430844</v>
      </c>
    </row>
    <row r="4178">
      <c r="A4178" s="3">
        <v>45816.0</v>
      </c>
      <c r="B4178" s="6">
        <v>0.09358302379430844</v>
      </c>
    </row>
    <row r="4179">
      <c r="A4179" s="3">
        <v>45817.0</v>
      </c>
      <c r="B4179" s="6">
        <v>0.09358302379430844</v>
      </c>
    </row>
    <row r="4180">
      <c r="A4180" s="3">
        <v>45818.0</v>
      </c>
      <c r="B4180" s="6">
        <v>0.09358302379430844</v>
      </c>
    </row>
    <row r="4181">
      <c r="A4181" s="3">
        <v>45819.0</v>
      </c>
      <c r="B4181" s="6">
        <v>0.09358302379430844</v>
      </c>
    </row>
    <row r="4182">
      <c r="A4182" s="3">
        <v>45820.0</v>
      </c>
      <c r="B4182" s="6">
        <v>0.09358302379430844</v>
      </c>
    </row>
    <row r="4183">
      <c r="A4183" s="3">
        <v>45821.0</v>
      </c>
      <c r="B4183" s="6">
        <v>0.09358302379430844</v>
      </c>
    </row>
    <row r="4184">
      <c r="A4184" s="3">
        <v>45822.0</v>
      </c>
      <c r="B4184" s="6">
        <v>0.09358302379430844</v>
      </c>
    </row>
    <row r="4185">
      <c r="A4185" s="3">
        <v>45823.0</v>
      </c>
      <c r="B4185" s="6">
        <v>0.09358302379430844</v>
      </c>
    </row>
    <row r="4186">
      <c r="A4186" s="3">
        <v>45824.0</v>
      </c>
      <c r="B4186" s="6">
        <v>0.09358302379430844</v>
      </c>
    </row>
    <row r="4187">
      <c r="A4187" s="3">
        <v>45825.0</v>
      </c>
      <c r="B4187" s="6">
        <v>0.09358302379430844</v>
      </c>
    </row>
    <row r="4188">
      <c r="A4188" s="3">
        <v>45826.0</v>
      </c>
      <c r="B4188" s="6">
        <v>0.09358302379430844</v>
      </c>
    </row>
    <row r="4189">
      <c r="A4189" s="3">
        <v>45827.0</v>
      </c>
      <c r="B4189" s="6">
        <v>0.09358302379430844</v>
      </c>
    </row>
    <row r="4190">
      <c r="A4190" s="3">
        <v>45828.0</v>
      </c>
      <c r="B4190" s="6">
        <v>0.09358302379430844</v>
      </c>
    </row>
    <row r="4191">
      <c r="A4191" s="3">
        <v>45829.0</v>
      </c>
      <c r="B4191" s="6">
        <v>0.09358302379430844</v>
      </c>
    </row>
    <row r="4192">
      <c r="A4192" s="3">
        <v>45830.0</v>
      </c>
      <c r="B4192" s="6">
        <v>0.09358302379430844</v>
      </c>
    </row>
    <row r="4193">
      <c r="A4193" s="3">
        <v>45831.0</v>
      </c>
      <c r="B4193" s="6">
        <v>0.09358302379430844</v>
      </c>
    </row>
    <row r="4194">
      <c r="A4194" s="3">
        <v>45832.0</v>
      </c>
      <c r="B4194" s="6">
        <v>0.09358302379430844</v>
      </c>
    </row>
    <row r="4195">
      <c r="A4195" s="3">
        <v>45833.0</v>
      </c>
      <c r="B4195" s="6">
        <v>0.09358302379430844</v>
      </c>
    </row>
    <row r="4196">
      <c r="A4196" s="3">
        <v>45834.0</v>
      </c>
      <c r="B4196" s="6">
        <v>0.09358302379430844</v>
      </c>
    </row>
    <row r="4197">
      <c r="A4197" s="3">
        <v>45835.0</v>
      </c>
      <c r="B4197" s="6">
        <v>0.09358302379430844</v>
      </c>
    </row>
    <row r="4198">
      <c r="A4198" s="3">
        <v>45836.0</v>
      </c>
      <c r="B4198" s="6">
        <v>0.09358302379430844</v>
      </c>
    </row>
    <row r="4199">
      <c r="A4199" s="3">
        <v>45837.0</v>
      </c>
      <c r="B4199" s="6">
        <v>0.09358302379430844</v>
      </c>
    </row>
    <row r="4200">
      <c r="A4200" s="3">
        <v>45838.0</v>
      </c>
      <c r="B4200" s="6">
        <v>0.09358302379430844</v>
      </c>
    </row>
    <row r="4201">
      <c r="A4201" s="3">
        <v>45839.0</v>
      </c>
      <c r="B4201" s="6">
        <v>0.10500501087039277</v>
      </c>
    </row>
    <row r="4202">
      <c r="A4202" s="3">
        <v>45840.0</v>
      </c>
      <c r="B4202" s="6">
        <v>0.10500501087039277</v>
      </c>
    </row>
    <row r="4203">
      <c r="A4203" s="3">
        <v>45841.0</v>
      </c>
      <c r="B4203" s="6">
        <v>0.10500501087039277</v>
      </c>
    </row>
    <row r="4204">
      <c r="A4204" s="3">
        <v>45842.0</v>
      </c>
      <c r="B4204" s="6">
        <v>0.10500501087039277</v>
      </c>
    </row>
    <row r="4205">
      <c r="A4205" s="3">
        <v>45843.0</v>
      </c>
      <c r="B4205" s="6">
        <v>0.10500501087039277</v>
      </c>
    </row>
    <row r="4206">
      <c r="A4206" s="3">
        <v>45844.0</v>
      </c>
      <c r="B4206" s="6">
        <v>0.10500501087039277</v>
      </c>
    </row>
    <row r="4207">
      <c r="A4207" s="3">
        <v>45845.0</v>
      </c>
      <c r="B4207" s="6">
        <v>0.10500501087039277</v>
      </c>
    </row>
    <row r="4208">
      <c r="A4208" s="3">
        <v>45846.0</v>
      </c>
      <c r="B4208" s="6">
        <v>0.10500501087039277</v>
      </c>
    </row>
    <row r="4209">
      <c r="A4209" s="3">
        <v>45847.0</v>
      </c>
      <c r="B4209" s="6">
        <v>0.10500501087039277</v>
      </c>
    </row>
    <row r="4210">
      <c r="A4210" s="3">
        <v>45848.0</v>
      </c>
      <c r="B4210" s="6">
        <v>0.10500501087039277</v>
      </c>
    </row>
    <row r="4211">
      <c r="A4211" s="3">
        <v>45849.0</v>
      </c>
      <c r="B4211" s="6">
        <v>0.10500501087039277</v>
      </c>
    </row>
    <row r="4212">
      <c r="A4212" s="3">
        <v>45850.0</v>
      </c>
      <c r="B4212" s="6">
        <v>0.10500501087039277</v>
      </c>
    </row>
    <row r="4213">
      <c r="A4213" s="3">
        <v>45851.0</v>
      </c>
      <c r="B4213" s="6">
        <v>0.10500501087039277</v>
      </c>
    </row>
    <row r="4214">
      <c r="A4214" s="3">
        <v>45852.0</v>
      </c>
      <c r="B4214" s="6">
        <v>0.10500501087039277</v>
      </c>
    </row>
    <row r="4215">
      <c r="A4215" s="3">
        <v>45853.0</v>
      </c>
      <c r="B4215" s="6">
        <v>0.10500501087039277</v>
      </c>
    </row>
    <row r="4216">
      <c r="A4216" s="3">
        <v>45854.0</v>
      </c>
      <c r="B4216" s="6">
        <v>0.10500501087039277</v>
      </c>
    </row>
    <row r="4217">
      <c r="A4217" s="3">
        <v>45855.0</v>
      </c>
      <c r="B4217" s="6">
        <v>0.10500501087039277</v>
      </c>
    </row>
    <row r="4218">
      <c r="A4218" s="3">
        <v>45856.0</v>
      </c>
      <c r="B4218" s="6">
        <v>0.10500501087039277</v>
      </c>
    </row>
    <row r="4219">
      <c r="A4219" s="3">
        <v>45857.0</v>
      </c>
      <c r="B4219" s="6">
        <v>0.10500501087039277</v>
      </c>
    </row>
    <row r="4220">
      <c r="A4220" s="3">
        <v>45858.0</v>
      </c>
      <c r="B4220" s="6">
        <v>0.10500501087039277</v>
      </c>
    </row>
    <row r="4221">
      <c r="A4221" s="3">
        <v>45859.0</v>
      </c>
      <c r="B4221" s="6">
        <v>0.10500501087039277</v>
      </c>
    </row>
    <row r="4222">
      <c r="A4222" s="3">
        <v>45860.0</v>
      </c>
      <c r="B4222" s="6">
        <v>0.10500501087039277</v>
      </c>
    </row>
    <row r="4223">
      <c r="A4223" s="3">
        <v>45861.0</v>
      </c>
      <c r="B4223" s="6">
        <v>0.10500501087039277</v>
      </c>
    </row>
    <row r="4224">
      <c r="A4224" s="3">
        <v>45862.0</v>
      </c>
      <c r="B4224" s="6">
        <v>0.10500501087039277</v>
      </c>
    </row>
    <row r="4225">
      <c r="A4225" s="3">
        <v>45863.0</v>
      </c>
      <c r="B4225" s="6">
        <v>0.10500501087039277</v>
      </c>
    </row>
    <row r="4226">
      <c r="A4226" s="3">
        <v>45864.0</v>
      </c>
      <c r="B4226" s="6">
        <v>0.10500501087039277</v>
      </c>
    </row>
    <row r="4227">
      <c r="A4227" s="3">
        <v>45865.0</v>
      </c>
      <c r="B4227" s="6">
        <v>0.10500501087039277</v>
      </c>
    </row>
    <row r="4228">
      <c r="A4228" s="3">
        <v>45866.0</v>
      </c>
      <c r="B4228" s="6">
        <v>0.10500501087039277</v>
      </c>
    </row>
    <row r="4229">
      <c r="A4229" s="3">
        <v>45867.0</v>
      </c>
      <c r="B4229" s="6">
        <v>0.10500501087039277</v>
      </c>
    </row>
    <row r="4230">
      <c r="A4230" s="3">
        <v>45868.0</v>
      </c>
      <c r="B4230" s="6">
        <v>0.10500501087039277</v>
      </c>
    </row>
    <row r="4231">
      <c r="A4231" s="3">
        <v>45869.0</v>
      </c>
      <c r="B4231" s="6">
        <v>0.10500501087039277</v>
      </c>
    </row>
    <row r="4232">
      <c r="A4232" s="3">
        <v>45870.0</v>
      </c>
      <c r="B4232" s="6">
        <v>0.10500501087039277</v>
      </c>
    </row>
    <row r="4233">
      <c r="A4233" s="3">
        <v>45871.0</v>
      </c>
      <c r="B4233" s="6">
        <v>0.10500501087039277</v>
      </c>
    </row>
    <row r="4234">
      <c r="A4234" s="3">
        <v>45872.0</v>
      </c>
      <c r="B4234" s="6">
        <v>0.10500501087039277</v>
      </c>
    </row>
    <row r="4235">
      <c r="A4235" s="3">
        <v>45873.0</v>
      </c>
      <c r="B4235" s="6">
        <v>0.10500501087039277</v>
      </c>
    </row>
    <row r="4236">
      <c r="A4236" s="3">
        <v>45874.0</v>
      </c>
      <c r="B4236" s="6">
        <v>0.10500501087039277</v>
      </c>
    </row>
    <row r="4237">
      <c r="A4237" s="3">
        <v>45875.0</v>
      </c>
      <c r="B4237" s="6">
        <v>0.10500501087039277</v>
      </c>
    </row>
    <row r="4238">
      <c r="A4238" s="3">
        <v>45876.0</v>
      </c>
      <c r="B4238" s="6">
        <v>0.10500501087039277</v>
      </c>
    </row>
    <row r="4239">
      <c r="A4239" s="3">
        <v>45877.0</v>
      </c>
      <c r="B4239" s="6">
        <v>0.10500501087039277</v>
      </c>
    </row>
    <row r="4240">
      <c r="A4240" s="3">
        <v>45878.0</v>
      </c>
      <c r="B4240" s="6">
        <v>0.10500501087039277</v>
      </c>
    </row>
    <row r="4241">
      <c r="A4241" s="3">
        <v>45879.0</v>
      </c>
      <c r="B4241" s="6">
        <v>0.10500501087039277</v>
      </c>
    </row>
    <row r="4242">
      <c r="A4242" s="3">
        <v>45880.0</v>
      </c>
      <c r="B4242" s="6">
        <v>0.10500501087039277</v>
      </c>
    </row>
    <row r="4243">
      <c r="A4243" s="3">
        <v>45881.0</v>
      </c>
      <c r="B4243" s="6">
        <v>0.10500501087039277</v>
      </c>
    </row>
    <row r="4244">
      <c r="A4244" s="3">
        <v>45882.0</v>
      </c>
      <c r="B4244" s="6">
        <v>0.10500501087039277</v>
      </c>
    </row>
    <row r="4245">
      <c r="A4245" s="3">
        <v>45883.0</v>
      </c>
      <c r="B4245" s="6">
        <v>0.10500501087039277</v>
      </c>
    </row>
    <row r="4246">
      <c r="A4246" s="3">
        <v>45884.0</v>
      </c>
      <c r="B4246" s="6">
        <v>0.10500501087039277</v>
      </c>
    </row>
    <row r="4247">
      <c r="A4247" s="3">
        <v>45885.0</v>
      </c>
      <c r="B4247" s="6">
        <v>0.10500501087039277</v>
      </c>
    </row>
    <row r="4248">
      <c r="A4248" s="3">
        <v>45886.0</v>
      </c>
      <c r="B4248" s="6">
        <v>0.10500501087039277</v>
      </c>
    </row>
    <row r="4249">
      <c r="A4249" s="3">
        <v>45887.0</v>
      </c>
      <c r="B4249" s="6">
        <v>0.10500501087039277</v>
      </c>
    </row>
    <row r="4250">
      <c r="A4250" s="3">
        <v>45888.0</v>
      </c>
      <c r="B4250" s="6">
        <v>0.10500501087039277</v>
      </c>
    </row>
    <row r="4251">
      <c r="A4251" s="3">
        <v>45889.0</v>
      </c>
      <c r="B4251" s="6">
        <v>0.10500501087039277</v>
      </c>
    </row>
    <row r="4252">
      <c r="A4252" s="3">
        <v>45890.0</v>
      </c>
      <c r="B4252" s="6">
        <v>0.10500501087039277</v>
      </c>
    </row>
    <row r="4253">
      <c r="A4253" s="3">
        <v>45891.0</v>
      </c>
      <c r="B4253" s="6">
        <v>0.10500501087039277</v>
      </c>
    </row>
    <row r="4254">
      <c r="A4254" s="3">
        <v>45892.0</v>
      </c>
      <c r="B4254" s="6">
        <v>0.10500501087039277</v>
      </c>
    </row>
    <row r="4255">
      <c r="A4255" s="3">
        <v>45893.0</v>
      </c>
      <c r="B4255" s="6">
        <v>0.10500501087039277</v>
      </c>
    </row>
    <row r="4256">
      <c r="A4256" s="3">
        <v>45894.0</v>
      </c>
      <c r="B4256" s="6">
        <v>0.10500501087039277</v>
      </c>
    </row>
    <row r="4257">
      <c r="A4257" s="3">
        <v>45895.0</v>
      </c>
      <c r="B4257" s="6">
        <v>0.10500501087039277</v>
      </c>
    </row>
    <row r="4258">
      <c r="A4258" s="3">
        <v>45896.0</v>
      </c>
      <c r="B4258" s="6">
        <v>0.10500501087039277</v>
      </c>
    </row>
    <row r="4259">
      <c r="A4259" s="3">
        <v>45897.0</v>
      </c>
      <c r="B4259" s="6">
        <v>0.10500501087039277</v>
      </c>
    </row>
    <row r="4260">
      <c r="A4260" s="3">
        <v>45898.0</v>
      </c>
      <c r="B4260" s="6">
        <v>0.10500501087039277</v>
      </c>
    </row>
    <row r="4261">
      <c r="A4261" s="3">
        <v>45899.0</v>
      </c>
      <c r="B4261" s="6">
        <v>0.10500501087039277</v>
      </c>
    </row>
    <row r="4262">
      <c r="A4262" s="3">
        <v>45900.0</v>
      </c>
      <c r="B4262" s="6">
        <v>0.10500501087039277</v>
      </c>
    </row>
    <row r="4263">
      <c r="A4263" s="3">
        <v>45901.0</v>
      </c>
      <c r="B4263" s="6">
        <v>0.10500501087039277</v>
      </c>
    </row>
    <row r="4264">
      <c r="A4264" s="3">
        <v>45902.0</v>
      </c>
      <c r="B4264" s="6">
        <v>0.10500501087039277</v>
      </c>
    </row>
    <row r="4265">
      <c r="A4265" s="3">
        <v>45903.0</v>
      </c>
      <c r="B4265" s="6">
        <v>0.10500501087039277</v>
      </c>
    </row>
    <row r="4266">
      <c r="A4266" s="3">
        <v>45904.0</v>
      </c>
      <c r="B4266" s="6">
        <v>0.10500501087039277</v>
      </c>
    </row>
    <row r="4267">
      <c r="A4267" s="3">
        <v>45905.0</v>
      </c>
      <c r="B4267" s="6">
        <v>0.10500501087039277</v>
      </c>
    </row>
    <row r="4268">
      <c r="A4268" s="3">
        <v>45906.0</v>
      </c>
      <c r="B4268" s="6">
        <v>0.10500501087039277</v>
      </c>
    </row>
    <row r="4269">
      <c r="A4269" s="3">
        <v>45907.0</v>
      </c>
      <c r="B4269" s="6">
        <v>0.10500501087039277</v>
      </c>
    </row>
    <row r="4270">
      <c r="A4270" s="3">
        <v>45908.0</v>
      </c>
      <c r="B4270" s="6">
        <v>0.10500501087039277</v>
      </c>
    </row>
    <row r="4271">
      <c r="A4271" s="3">
        <v>45909.0</v>
      </c>
      <c r="B4271" s="6">
        <v>0.10500501087039277</v>
      </c>
    </row>
    <row r="4272">
      <c r="A4272" s="3">
        <v>45910.0</v>
      </c>
      <c r="B4272" s="6">
        <v>0.10500501087039277</v>
      </c>
    </row>
    <row r="4273">
      <c r="A4273" s="3">
        <v>45911.0</v>
      </c>
      <c r="B4273" s="6">
        <v>0.10500501087039277</v>
      </c>
    </row>
    <row r="4274">
      <c r="A4274" s="3">
        <v>45912.0</v>
      </c>
      <c r="B4274" s="6">
        <v>0.10500501087039277</v>
      </c>
    </row>
    <row r="4275">
      <c r="A4275" s="3">
        <v>45913.0</v>
      </c>
      <c r="B4275" s="6">
        <v>0.10500501087039277</v>
      </c>
    </row>
    <row r="4276">
      <c r="A4276" s="3">
        <v>45914.0</v>
      </c>
      <c r="B4276" s="6">
        <v>0.10500501087039277</v>
      </c>
    </row>
    <row r="4277">
      <c r="A4277" s="3">
        <v>45915.0</v>
      </c>
      <c r="B4277" s="6">
        <v>0.10500501087039277</v>
      </c>
    </row>
    <row r="4278">
      <c r="A4278" s="3">
        <v>45916.0</v>
      </c>
      <c r="B4278" s="6">
        <v>0.10500501087039277</v>
      </c>
    </row>
    <row r="4279">
      <c r="A4279" s="3">
        <v>45917.0</v>
      </c>
      <c r="B4279" s="6">
        <v>0.10500501087039277</v>
      </c>
    </row>
    <row r="4280">
      <c r="A4280" s="3">
        <v>45918.0</v>
      </c>
      <c r="B4280" s="6">
        <v>0.10500501087039277</v>
      </c>
    </row>
    <row r="4281">
      <c r="A4281" s="3">
        <v>45919.0</v>
      </c>
      <c r="B4281" s="6">
        <v>0.10500501087039277</v>
      </c>
    </row>
    <row r="4282">
      <c r="A4282" s="3">
        <v>45920.0</v>
      </c>
      <c r="B4282" s="6">
        <v>0.10500501087039277</v>
      </c>
    </row>
    <row r="4283">
      <c r="A4283" s="3">
        <v>45921.0</v>
      </c>
      <c r="B4283" s="6">
        <v>0.10500501087039277</v>
      </c>
    </row>
    <row r="4284">
      <c r="A4284" s="3">
        <v>45922.0</v>
      </c>
      <c r="B4284" s="6">
        <v>0.10500501087039277</v>
      </c>
    </row>
    <row r="4285">
      <c r="A4285" s="3">
        <v>45923.0</v>
      </c>
      <c r="B4285" s="6">
        <v>0.10500501087039277</v>
      </c>
    </row>
    <row r="4286">
      <c r="A4286" s="3">
        <v>45924.0</v>
      </c>
      <c r="B4286" s="6">
        <v>0.10500501087039277</v>
      </c>
    </row>
    <row r="4287">
      <c r="A4287" s="3">
        <v>45925.0</v>
      </c>
      <c r="B4287" s="6">
        <v>0.10500501087039277</v>
      </c>
    </row>
    <row r="4288">
      <c r="A4288" s="3">
        <v>45926.0</v>
      </c>
      <c r="B4288" s="6">
        <v>0.10500501087039277</v>
      </c>
    </row>
    <row r="4289">
      <c r="A4289" s="3">
        <v>45927.0</v>
      </c>
      <c r="B4289" s="6">
        <v>0.10500501087039277</v>
      </c>
    </row>
    <row r="4290">
      <c r="A4290" s="3">
        <v>45928.0</v>
      </c>
      <c r="B4290" s="6">
        <v>0.10500501087039277</v>
      </c>
    </row>
    <row r="4291">
      <c r="A4291" s="3">
        <v>45929.0</v>
      </c>
      <c r="B4291" s="6">
        <v>0.10500501087039277</v>
      </c>
    </row>
    <row r="4292">
      <c r="A4292" s="3">
        <v>45930.0</v>
      </c>
      <c r="B4292" s="6">
        <v>0.10500501087039277</v>
      </c>
    </row>
    <row r="4293">
      <c r="A4293" s="3">
        <v>45931.0</v>
      </c>
      <c r="B4293" s="6">
        <v>0.10500501087039277</v>
      </c>
    </row>
    <row r="4294">
      <c r="A4294" s="3">
        <v>45932.0</v>
      </c>
      <c r="B4294" s="6">
        <v>0.10500501087039277</v>
      </c>
    </row>
    <row r="4295">
      <c r="A4295" s="3">
        <v>45933.0</v>
      </c>
      <c r="B4295" s="6">
        <v>0.10500501087039277</v>
      </c>
    </row>
    <row r="4296">
      <c r="A4296" s="3">
        <v>45934.0</v>
      </c>
      <c r="B4296" s="6">
        <v>0.10500501087039277</v>
      </c>
    </row>
    <row r="4297">
      <c r="A4297" s="3">
        <v>45935.0</v>
      </c>
      <c r="B4297" s="6">
        <v>0.10500501087039277</v>
      </c>
    </row>
    <row r="4298">
      <c r="A4298" s="3">
        <v>45936.0</v>
      </c>
      <c r="B4298" s="6">
        <v>0.10500501087039277</v>
      </c>
    </row>
    <row r="4299">
      <c r="A4299" s="3">
        <v>45937.0</v>
      </c>
      <c r="B4299" s="6">
        <v>0.10500501087039277</v>
      </c>
    </row>
    <row r="4300">
      <c r="A4300" s="3">
        <v>45938.0</v>
      </c>
      <c r="B4300" s="6">
        <v>0.10500501087039277</v>
      </c>
    </row>
    <row r="4301">
      <c r="A4301" s="3">
        <v>45939.0</v>
      </c>
      <c r="B4301" s="6">
        <v>0.10500501087039277</v>
      </c>
    </row>
    <row r="4302">
      <c r="A4302" s="3">
        <v>45940.0</v>
      </c>
      <c r="B4302" s="6">
        <v>0.10500501087039277</v>
      </c>
    </row>
    <row r="4303">
      <c r="A4303" s="3">
        <v>45941.0</v>
      </c>
      <c r="B4303" s="6">
        <v>0.10500501087039277</v>
      </c>
    </row>
    <row r="4304">
      <c r="A4304" s="3">
        <v>45942.0</v>
      </c>
      <c r="B4304" s="6">
        <v>0.10500501087039277</v>
      </c>
    </row>
    <row r="4305">
      <c r="A4305" s="3">
        <v>45943.0</v>
      </c>
      <c r="B4305" s="6">
        <v>0.10500501087039277</v>
      </c>
    </row>
    <row r="4306">
      <c r="A4306" s="3">
        <v>45944.0</v>
      </c>
      <c r="B4306" s="6">
        <v>0.10500501087039277</v>
      </c>
    </row>
    <row r="4307">
      <c r="A4307" s="3">
        <v>45945.0</v>
      </c>
      <c r="B4307" s="6">
        <v>0.10500501087039277</v>
      </c>
    </row>
    <row r="4308">
      <c r="A4308" s="3">
        <v>45946.0</v>
      </c>
      <c r="B4308" s="6">
        <v>0.10500501087039277</v>
      </c>
    </row>
    <row r="4309">
      <c r="A4309" s="3">
        <v>45947.0</v>
      </c>
      <c r="B4309" s="6">
        <v>0.10500501087039277</v>
      </c>
    </row>
    <row r="4310">
      <c r="A4310" s="3">
        <v>45948.0</v>
      </c>
      <c r="B4310" s="6">
        <v>0.10500501087039277</v>
      </c>
    </row>
    <row r="4311">
      <c r="A4311" s="3">
        <v>45949.0</v>
      </c>
      <c r="B4311" s="6">
        <v>0.10500501087039277</v>
      </c>
    </row>
    <row r="4312">
      <c r="A4312" s="3">
        <v>45950.0</v>
      </c>
      <c r="B4312" s="6">
        <v>0.10500501087039277</v>
      </c>
    </row>
    <row r="4313">
      <c r="A4313" s="3">
        <v>45951.0</v>
      </c>
      <c r="B4313" s="6">
        <v>0.10500501087039277</v>
      </c>
    </row>
    <row r="4314">
      <c r="A4314" s="3">
        <v>45952.0</v>
      </c>
      <c r="B4314" s="6">
        <v>0.10500501087039277</v>
      </c>
    </row>
    <row r="4315">
      <c r="A4315" s="3">
        <v>45953.0</v>
      </c>
      <c r="B4315" s="6">
        <v>0.10500501087039277</v>
      </c>
    </row>
    <row r="4316">
      <c r="A4316" s="3">
        <v>45954.0</v>
      </c>
      <c r="B4316" s="6">
        <v>0.10500501087039277</v>
      </c>
    </row>
    <row r="4317">
      <c r="A4317" s="3">
        <v>45955.0</v>
      </c>
      <c r="B4317" s="6">
        <v>0.10500501087039277</v>
      </c>
    </row>
    <row r="4318">
      <c r="A4318" s="3">
        <v>45956.0</v>
      </c>
      <c r="B4318" s="6">
        <v>0.10500501087039277</v>
      </c>
    </row>
    <row r="4319">
      <c r="A4319" s="3">
        <v>45957.0</v>
      </c>
      <c r="B4319" s="6">
        <v>0.10500501087039277</v>
      </c>
    </row>
    <row r="4320">
      <c r="A4320" s="3">
        <v>45958.0</v>
      </c>
      <c r="B4320" s="6">
        <v>0.10500501087039277</v>
      </c>
    </row>
    <row r="4321">
      <c r="A4321" s="3">
        <v>45959.0</v>
      </c>
      <c r="B4321" s="6">
        <v>0.10500501087039277</v>
      </c>
    </row>
    <row r="4322">
      <c r="A4322" s="3">
        <v>45960.0</v>
      </c>
      <c r="B4322" s="6">
        <v>0.10500501087039277</v>
      </c>
    </row>
    <row r="4323">
      <c r="A4323" s="3">
        <v>45961.0</v>
      </c>
      <c r="B4323" s="6">
        <v>0.10500501087039277</v>
      </c>
    </row>
    <row r="4324">
      <c r="A4324" s="3">
        <v>45962.0</v>
      </c>
      <c r="B4324" s="6">
        <v>0.10500501087039277</v>
      </c>
    </row>
    <row r="4325">
      <c r="A4325" s="3">
        <v>45963.0</v>
      </c>
      <c r="B4325" s="6">
        <v>0.10500501087039277</v>
      </c>
    </row>
    <row r="4326">
      <c r="A4326" s="3">
        <v>45964.0</v>
      </c>
      <c r="B4326" s="6">
        <v>0.10500501087039277</v>
      </c>
    </row>
    <row r="4327">
      <c r="A4327" s="3">
        <v>45965.0</v>
      </c>
      <c r="B4327" s="6">
        <v>0.10500501087039277</v>
      </c>
    </row>
    <row r="4328">
      <c r="A4328" s="3">
        <v>45966.0</v>
      </c>
      <c r="B4328" s="6">
        <v>0.10500501087039277</v>
      </c>
    </row>
    <row r="4329">
      <c r="A4329" s="3">
        <v>45967.0</v>
      </c>
      <c r="B4329" s="6">
        <v>0.10500501087039277</v>
      </c>
    </row>
    <row r="4330">
      <c r="A4330" s="3">
        <v>45968.0</v>
      </c>
      <c r="B4330" s="6">
        <v>0.10500501087039277</v>
      </c>
    </row>
    <row r="4331">
      <c r="A4331" s="3">
        <v>45969.0</v>
      </c>
      <c r="B4331" s="6">
        <v>0.10500501087039277</v>
      </c>
    </row>
    <row r="4332">
      <c r="A4332" s="3">
        <v>45970.0</v>
      </c>
      <c r="B4332" s="6">
        <v>0.10500501087039277</v>
      </c>
    </row>
    <row r="4333">
      <c r="A4333" s="3">
        <v>45971.0</v>
      </c>
      <c r="B4333" s="6">
        <v>0.10500501087039277</v>
      </c>
    </row>
    <row r="4334">
      <c r="A4334" s="3">
        <v>45972.0</v>
      </c>
      <c r="B4334" s="6">
        <v>0.10500501087039277</v>
      </c>
    </row>
    <row r="4335">
      <c r="A4335" s="3">
        <v>45973.0</v>
      </c>
      <c r="B4335" s="6">
        <v>0.10500501087039277</v>
      </c>
    </row>
    <row r="4336">
      <c r="A4336" s="3">
        <v>45974.0</v>
      </c>
      <c r="B4336" s="6">
        <v>0.10500501087039277</v>
      </c>
    </row>
    <row r="4337">
      <c r="A4337" s="3">
        <v>45975.0</v>
      </c>
      <c r="B4337" s="6">
        <v>0.10500501087039277</v>
      </c>
    </row>
    <row r="4338">
      <c r="A4338" s="3">
        <v>45976.0</v>
      </c>
      <c r="B4338" s="6">
        <v>0.10500501087039277</v>
      </c>
    </row>
    <row r="4339">
      <c r="A4339" s="3">
        <v>45977.0</v>
      </c>
      <c r="B4339" s="6">
        <v>0.10500501087039277</v>
      </c>
    </row>
    <row r="4340">
      <c r="A4340" s="3">
        <v>45978.0</v>
      </c>
      <c r="B4340" s="6">
        <v>0.10500501087039277</v>
      </c>
    </row>
    <row r="4341">
      <c r="A4341" s="3">
        <v>45979.0</v>
      </c>
      <c r="B4341" s="6">
        <v>0.10500501087039277</v>
      </c>
    </row>
    <row r="4342">
      <c r="A4342" s="3">
        <v>45980.0</v>
      </c>
      <c r="B4342" s="6">
        <v>0.10500501087039277</v>
      </c>
    </row>
    <row r="4343">
      <c r="A4343" s="3">
        <v>45981.0</v>
      </c>
      <c r="B4343" s="6">
        <v>0.10500501087039277</v>
      </c>
    </row>
    <row r="4344">
      <c r="A4344" s="3">
        <v>45982.0</v>
      </c>
      <c r="B4344" s="6">
        <v>0.10500501087039277</v>
      </c>
    </row>
    <row r="4345">
      <c r="A4345" s="3">
        <v>45983.0</v>
      </c>
      <c r="B4345" s="6">
        <v>0.10500501087039277</v>
      </c>
    </row>
    <row r="4346">
      <c r="A4346" s="3">
        <v>45984.0</v>
      </c>
      <c r="B4346" s="6">
        <v>0.10500501087039277</v>
      </c>
    </row>
    <row r="4347">
      <c r="A4347" s="3">
        <v>45985.0</v>
      </c>
      <c r="B4347" s="6">
        <v>0.10500501087039277</v>
      </c>
    </row>
    <row r="4348">
      <c r="A4348" s="3">
        <v>45986.0</v>
      </c>
      <c r="B4348" s="6">
        <v>0.10500501087039277</v>
      </c>
    </row>
    <row r="4349">
      <c r="A4349" s="3">
        <v>45987.0</v>
      </c>
      <c r="B4349" s="6">
        <v>0.10500501087039277</v>
      </c>
    </row>
    <row r="4350">
      <c r="A4350" s="3">
        <v>45988.0</v>
      </c>
      <c r="B4350" s="6">
        <v>0.10500501087039277</v>
      </c>
    </row>
    <row r="4351">
      <c r="A4351" s="3">
        <v>45989.0</v>
      </c>
      <c r="B4351" s="6">
        <v>0.10500501087039277</v>
      </c>
    </row>
    <row r="4352">
      <c r="A4352" s="3">
        <v>45990.0</v>
      </c>
      <c r="B4352" s="6">
        <v>0.10500501087039277</v>
      </c>
    </row>
    <row r="4353">
      <c r="A4353" s="3">
        <v>45991.0</v>
      </c>
      <c r="B4353" s="6">
        <v>0.10500501087039277</v>
      </c>
    </row>
    <row r="4354">
      <c r="A4354" s="3">
        <v>45992.0</v>
      </c>
      <c r="B4354" s="6">
        <v>0.10500501087039277</v>
      </c>
    </row>
    <row r="4355">
      <c r="A4355" s="3">
        <v>45993.0</v>
      </c>
      <c r="B4355" s="6">
        <v>0.10500501087039277</v>
      </c>
    </row>
    <row r="4356">
      <c r="A4356" s="3">
        <v>45994.0</v>
      </c>
      <c r="B4356" s="6">
        <v>0.10500501087039277</v>
      </c>
    </row>
    <row r="4357">
      <c r="A4357" s="3">
        <v>45995.0</v>
      </c>
      <c r="B4357" s="6">
        <v>0.10500501087039277</v>
      </c>
    </row>
    <row r="4358">
      <c r="A4358" s="3">
        <v>45996.0</v>
      </c>
      <c r="B4358" s="6">
        <v>0.10500501087039277</v>
      </c>
    </row>
    <row r="4359">
      <c r="A4359" s="3">
        <v>45997.0</v>
      </c>
      <c r="B4359" s="6">
        <v>0.10500501087039277</v>
      </c>
    </row>
    <row r="4360">
      <c r="A4360" s="3">
        <v>45998.0</v>
      </c>
      <c r="B4360" s="6">
        <v>0.10500501087039277</v>
      </c>
    </row>
    <row r="4361">
      <c r="A4361" s="3">
        <v>45999.0</v>
      </c>
      <c r="B4361" s="6">
        <v>0.10500501087039277</v>
      </c>
    </row>
    <row r="4362">
      <c r="A4362" s="3">
        <v>46000.0</v>
      </c>
      <c r="B4362" s="6">
        <v>0.10500501087039277</v>
      </c>
    </row>
    <row r="4363">
      <c r="A4363" s="3">
        <v>46001.0</v>
      </c>
      <c r="B4363" s="6">
        <v>0.10500501087039277</v>
      </c>
    </row>
    <row r="4364">
      <c r="A4364" s="3">
        <v>46002.0</v>
      </c>
      <c r="B4364" s="6">
        <v>0.10500501087039277</v>
      </c>
    </row>
    <row r="4365">
      <c r="A4365" s="3">
        <v>46003.0</v>
      </c>
      <c r="B4365" s="6">
        <v>0.10500501087039277</v>
      </c>
    </row>
    <row r="4366">
      <c r="A4366" s="3">
        <v>46004.0</v>
      </c>
      <c r="B4366" s="6">
        <v>0.10500501087039277</v>
      </c>
    </row>
    <row r="4367">
      <c r="A4367" s="3">
        <v>46005.0</v>
      </c>
      <c r="B4367" s="6">
        <v>0.10500501087039277</v>
      </c>
    </row>
    <row r="4368">
      <c r="A4368" s="3">
        <v>46006.0</v>
      </c>
      <c r="B4368" s="6">
        <v>0.10500501087039277</v>
      </c>
    </row>
    <row r="4369">
      <c r="A4369" s="3">
        <v>46007.0</v>
      </c>
      <c r="B4369" s="6">
        <v>0.10500501087039277</v>
      </c>
    </row>
    <row r="4370">
      <c r="A4370" s="3">
        <v>46008.0</v>
      </c>
      <c r="B4370" s="6">
        <v>0.10500501087039277</v>
      </c>
    </row>
    <row r="4371">
      <c r="A4371" s="3">
        <v>46009.0</v>
      </c>
      <c r="B4371" s="6">
        <v>0.10500501087039277</v>
      </c>
    </row>
    <row r="4372">
      <c r="A4372" s="3">
        <v>46010.0</v>
      </c>
      <c r="B4372" s="6">
        <v>0.10500501087039277</v>
      </c>
    </row>
    <row r="4373">
      <c r="A4373" s="3">
        <v>46011.0</v>
      </c>
      <c r="B4373" s="6">
        <v>0.10500501087039277</v>
      </c>
    </row>
    <row r="4374">
      <c r="A4374" s="3">
        <v>46012.0</v>
      </c>
      <c r="B4374" s="6">
        <v>0.10500501087039277</v>
      </c>
    </row>
    <row r="4375">
      <c r="A4375" s="3">
        <v>46013.0</v>
      </c>
      <c r="B4375" s="6">
        <v>0.10500501087039277</v>
      </c>
    </row>
    <row r="4376">
      <c r="A4376" s="3">
        <v>46014.0</v>
      </c>
      <c r="B4376" s="6">
        <v>0.10500501087039277</v>
      </c>
    </row>
    <row r="4377">
      <c r="A4377" s="3">
        <v>46015.0</v>
      </c>
      <c r="B4377" s="6">
        <v>0.10500501087039277</v>
      </c>
    </row>
    <row r="4378">
      <c r="A4378" s="3">
        <v>46016.0</v>
      </c>
      <c r="B4378" s="6">
        <v>0.10500501087039277</v>
      </c>
    </row>
    <row r="4379">
      <c r="A4379" s="3">
        <v>46017.0</v>
      </c>
      <c r="B4379" s="6">
        <v>0.10500501087039277</v>
      </c>
    </row>
    <row r="4380">
      <c r="A4380" s="3">
        <v>46018.0</v>
      </c>
      <c r="B4380" s="6">
        <v>0.10500501087039277</v>
      </c>
    </row>
    <row r="4381">
      <c r="A4381" s="3">
        <v>46019.0</v>
      </c>
      <c r="B4381" s="6">
        <v>0.10500501087039277</v>
      </c>
    </row>
    <row r="4382">
      <c r="A4382" s="3">
        <v>46020.0</v>
      </c>
      <c r="B4382" s="6">
        <v>0.10500501087039277</v>
      </c>
    </row>
    <row r="4383">
      <c r="A4383" s="3">
        <v>46021.0</v>
      </c>
      <c r="B4383" s="6">
        <v>0.10500501087039277</v>
      </c>
    </row>
    <row r="4384">
      <c r="A4384" s="3">
        <v>46022.0</v>
      </c>
      <c r="B4384" s="6">
        <v>0.10500501087039277</v>
      </c>
    </row>
    <row r="4385">
      <c r="A4385" s="3">
        <v>46023.0</v>
      </c>
      <c r="B4385" s="6">
        <v>0.10500501087039277</v>
      </c>
    </row>
    <row r="4386">
      <c r="A4386" s="3"/>
      <c r="B4386" s="6" t="s">
        <v>866</v>
      </c>
    </row>
    <row r="4387">
      <c r="A4387" s="3"/>
      <c r="B4387" s="6" t="s">
        <v>866</v>
      </c>
    </row>
    <row r="4388">
      <c r="A4388" s="3"/>
      <c r="B4388" s="6" t="s">
        <v>866</v>
      </c>
    </row>
    <row r="4389">
      <c r="A4389" s="3"/>
      <c r="B4389" s="6" t="s">
        <v>866</v>
      </c>
    </row>
    <row r="4390">
      <c r="A4390" s="3"/>
      <c r="B4390" s="6" t="s">
        <v>866</v>
      </c>
    </row>
    <row r="4391">
      <c r="A4391" s="3"/>
      <c r="B4391" s="6" t="s">
        <v>866</v>
      </c>
    </row>
    <row r="4392">
      <c r="A4392" s="3"/>
      <c r="B4392" s="6" t="s">
        <v>866</v>
      </c>
    </row>
    <row r="4393">
      <c r="A4393" s="3"/>
      <c r="B4393" s="6" t="s">
        <v>866</v>
      </c>
    </row>
    <row r="4394">
      <c r="A4394" s="3"/>
      <c r="B4394" s="6" t="s">
        <v>866</v>
      </c>
    </row>
    <row r="4395">
      <c r="A4395" s="3"/>
      <c r="B4395" s="6" t="s">
        <v>866</v>
      </c>
    </row>
    <row r="4396">
      <c r="A4396" s="3"/>
      <c r="B4396" s="6" t="s">
        <v>866</v>
      </c>
    </row>
    <row r="4397">
      <c r="A4397" s="3"/>
      <c r="B4397" s="6" t="s">
        <v>866</v>
      </c>
    </row>
    <row r="4398">
      <c r="A4398" s="3"/>
      <c r="B4398" s="6" t="s">
        <v>866</v>
      </c>
    </row>
    <row r="4399">
      <c r="A4399" s="3"/>
      <c r="B4399" s="6" t="s">
        <v>866</v>
      </c>
    </row>
    <row r="4400">
      <c r="A4400" s="3"/>
      <c r="B4400" s="6" t="s">
        <v>866</v>
      </c>
    </row>
    <row r="4401">
      <c r="A4401" s="3"/>
      <c r="B4401" s="6" t="s">
        <v>866</v>
      </c>
    </row>
    <row r="4402">
      <c r="A4402" s="3"/>
      <c r="B4402" s="6" t="s">
        <v>866</v>
      </c>
    </row>
    <row r="4403">
      <c r="A4403" s="3"/>
      <c r="B4403" s="6" t="s">
        <v>866</v>
      </c>
    </row>
    <row r="4404">
      <c r="A4404" s="3"/>
      <c r="B4404" s="6" t="s">
        <v>866</v>
      </c>
    </row>
    <row r="4405">
      <c r="A4405" s="3"/>
      <c r="B4405" s="6" t="s">
        <v>866</v>
      </c>
    </row>
    <row r="4406">
      <c r="A4406" s="3"/>
      <c r="B4406" s="6" t="s">
        <v>866</v>
      </c>
    </row>
    <row r="4407">
      <c r="A4407" s="3"/>
      <c r="B4407" s="6" t="s">
        <v>866</v>
      </c>
    </row>
    <row r="4408">
      <c r="A4408" s="3"/>
      <c r="B4408" s="6" t="s">
        <v>866</v>
      </c>
    </row>
    <row r="4409">
      <c r="A4409" s="3"/>
      <c r="B4409" s="6" t="s">
        <v>866</v>
      </c>
    </row>
    <row r="4410">
      <c r="A4410" s="3"/>
      <c r="B4410" s="6" t="s">
        <v>866</v>
      </c>
    </row>
    <row r="4411">
      <c r="A4411" s="3"/>
      <c r="B4411" s="6" t="s">
        <v>866</v>
      </c>
    </row>
    <row r="4412">
      <c r="A4412" s="3"/>
      <c r="B4412" s="6" t="s">
        <v>866</v>
      </c>
    </row>
    <row r="4413">
      <c r="A4413" s="3"/>
      <c r="B4413" s="6" t="s">
        <v>866</v>
      </c>
    </row>
    <row r="4414">
      <c r="A4414" s="3"/>
      <c r="B4414" s="6" t="s">
        <v>866</v>
      </c>
    </row>
    <row r="4415">
      <c r="A4415" s="3"/>
      <c r="B4415" s="6" t="s">
        <v>866</v>
      </c>
    </row>
    <row r="4416">
      <c r="A4416" s="3"/>
      <c r="B4416" s="6" t="s">
        <v>866</v>
      </c>
    </row>
    <row r="4417">
      <c r="A4417" s="3"/>
      <c r="B4417" s="6" t="s">
        <v>866</v>
      </c>
    </row>
    <row r="4418">
      <c r="A4418" s="3"/>
      <c r="B4418" s="6" t="s">
        <v>866</v>
      </c>
    </row>
    <row r="4419">
      <c r="A4419" s="3"/>
      <c r="B4419" s="6" t="s">
        <v>866</v>
      </c>
    </row>
    <row r="4420">
      <c r="A4420" s="3"/>
      <c r="B4420" s="6" t="s">
        <v>866</v>
      </c>
    </row>
    <row r="4421">
      <c r="A4421" s="3"/>
      <c r="B4421" s="6" t="s">
        <v>866</v>
      </c>
    </row>
    <row r="4422">
      <c r="A4422" s="3"/>
      <c r="B4422" s="6" t="s">
        <v>866</v>
      </c>
    </row>
    <row r="4423">
      <c r="A4423" s="3"/>
      <c r="B4423" s="6" t="s">
        <v>866</v>
      </c>
    </row>
    <row r="4424">
      <c r="A4424" s="3"/>
      <c r="B4424" s="6" t="s">
        <v>866</v>
      </c>
    </row>
    <row r="4425">
      <c r="A4425" s="3"/>
      <c r="B4425" s="6" t="s">
        <v>866</v>
      </c>
    </row>
    <row r="4426">
      <c r="A4426" s="3"/>
      <c r="B4426" s="6" t="s">
        <v>866</v>
      </c>
    </row>
    <row r="4427">
      <c r="A4427" s="3"/>
      <c r="B4427" s="6" t="s">
        <v>866</v>
      </c>
    </row>
    <row r="4428">
      <c r="A4428" s="3"/>
      <c r="B4428" s="6" t="s">
        <v>866</v>
      </c>
    </row>
    <row r="4429">
      <c r="A4429" s="3"/>
      <c r="B4429" s="6" t="s">
        <v>866</v>
      </c>
    </row>
    <row r="4430">
      <c r="A4430" s="3"/>
      <c r="B4430" s="6" t="s">
        <v>866</v>
      </c>
    </row>
    <row r="4431">
      <c r="A4431" s="3"/>
      <c r="B4431" s="6" t="s">
        <v>866</v>
      </c>
    </row>
    <row r="4432">
      <c r="A4432" s="3"/>
      <c r="B4432" s="6" t="s">
        <v>866</v>
      </c>
    </row>
    <row r="4433">
      <c r="A4433" s="3"/>
      <c r="B4433" s="6" t="s">
        <v>866</v>
      </c>
    </row>
    <row r="4434">
      <c r="A4434" s="3"/>
      <c r="B4434" s="6" t="s">
        <v>866</v>
      </c>
    </row>
    <row r="4435">
      <c r="A4435" s="3"/>
      <c r="B4435" s="6" t="s">
        <v>866</v>
      </c>
    </row>
    <row r="4436">
      <c r="A4436" s="3"/>
      <c r="B4436" s="6" t="s">
        <v>866</v>
      </c>
    </row>
    <row r="4437">
      <c r="A4437" s="3"/>
      <c r="B4437" s="6" t="s">
        <v>866</v>
      </c>
    </row>
    <row r="4438">
      <c r="A4438" s="3"/>
      <c r="B4438" s="6" t="s">
        <v>866</v>
      </c>
    </row>
    <row r="4439">
      <c r="A4439" s="3"/>
      <c r="B4439" s="6" t="s">
        <v>866</v>
      </c>
    </row>
    <row r="4440">
      <c r="A4440" s="3"/>
      <c r="B4440" s="6" t="s">
        <v>866</v>
      </c>
    </row>
    <row r="4441">
      <c r="A4441" s="3"/>
      <c r="B4441" s="6" t="s">
        <v>866</v>
      </c>
    </row>
    <row r="4442">
      <c r="A4442" s="3"/>
      <c r="B4442" s="6" t="s">
        <v>866</v>
      </c>
    </row>
    <row r="4443">
      <c r="A4443" s="3"/>
      <c r="B4443" s="6" t="s">
        <v>866</v>
      </c>
    </row>
    <row r="4444">
      <c r="A4444" s="3"/>
      <c r="B4444" s="6" t="s">
        <v>866</v>
      </c>
    </row>
    <row r="4445">
      <c r="A4445" s="3"/>
      <c r="B4445" s="6" t="s">
        <v>866</v>
      </c>
    </row>
    <row r="4446">
      <c r="A4446" s="3"/>
      <c r="B4446" s="6" t="s">
        <v>866</v>
      </c>
    </row>
    <row r="4447">
      <c r="A4447" s="3"/>
      <c r="B4447" s="6" t="s">
        <v>866</v>
      </c>
    </row>
    <row r="4448">
      <c r="A4448" s="3"/>
      <c r="B4448" s="6" t="s">
        <v>866</v>
      </c>
    </row>
    <row r="4449">
      <c r="A4449" s="3"/>
      <c r="B4449" s="6" t="s">
        <v>866</v>
      </c>
    </row>
    <row r="4450">
      <c r="A4450" s="3"/>
      <c r="B4450" s="6" t="s">
        <v>866</v>
      </c>
    </row>
    <row r="4451">
      <c r="A4451" s="3"/>
      <c r="B4451" s="6" t="s">
        <v>866</v>
      </c>
    </row>
    <row r="4452">
      <c r="A4452" s="3"/>
      <c r="B4452" s="6" t="s">
        <v>866</v>
      </c>
    </row>
    <row r="4453">
      <c r="A4453" s="3"/>
      <c r="B4453" s="6" t="s">
        <v>866</v>
      </c>
    </row>
    <row r="4454">
      <c r="A4454" s="3"/>
      <c r="B4454" s="6" t="s">
        <v>866</v>
      </c>
    </row>
    <row r="4455">
      <c r="A4455" s="3"/>
      <c r="B4455" s="6" t="s">
        <v>866</v>
      </c>
    </row>
    <row r="4456">
      <c r="A4456" s="3"/>
      <c r="B4456" s="6" t="s">
        <v>866</v>
      </c>
    </row>
    <row r="4457">
      <c r="A4457" s="3"/>
      <c r="B4457" s="6" t="s">
        <v>866</v>
      </c>
    </row>
    <row r="4458">
      <c r="A4458" s="3"/>
      <c r="B4458" s="6" t="s">
        <v>866</v>
      </c>
    </row>
    <row r="4459">
      <c r="A4459" s="3"/>
      <c r="B4459" s="6" t="s">
        <v>866</v>
      </c>
    </row>
    <row r="4460">
      <c r="A4460" s="3"/>
      <c r="B4460" s="6" t="s">
        <v>866</v>
      </c>
    </row>
    <row r="4461">
      <c r="A4461" s="3"/>
      <c r="B4461" s="6" t="s">
        <v>866</v>
      </c>
    </row>
    <row r="4462">
      <c r="A4462" s="3"/>
      <c r="B4462" s="6" t="s">
        <v>866</v>
      </c>
    </row>
    <row r="4463">
      <c r="A4463" s="3"/>
      <c r="B4463" s="6" t="s">
        <v>866</v>
      </c>
    </row>
    <row r="4464">
      <c r="A4464" s="3"/>
      <c r="B4464" s="6" t="s">
        <v>866</v>
      </c>
    </row>
    <row r="4465">
      <c r="A4465" s="3"/>
      <c r="B4465" s="6" t="s">
        <v>866</v>
      </c>
    </row>
    <row r="4466">
      <c r="A4466" s="3"/>
      <c r="B4466" s="6" t="s">
        <v>866</v>
      </c>
    </row>
    <row r="4467">
      <c r="A4467" s="3"/>
      <c r="B4467" s="6" t="s">
        <v>866</v>
      </c>
    </row>
    <row r="4468">
      <c r="A4468" s="3"/>
      <c r="B4468" s="6" t="s">
        <v>866</v>
      </c>
    </row>
    <row r="4469">
      <c r="A4469" s="3"/>
      <c r="B4469" s="6" t="s">
        <v>866</v>
      </c>
    </row>
    <row r="4470">
      <c r="A4470" s="3"/>
      <c r="B4470" s="6" t="s">
        <v>866</v>
      </c>
    </row>
    <row r="4471">
      <c r="A4471" s="3"/>
      <c r="B4471" s="6" t="s">
        <v>866</v>
      </c>
    </row>
    <row r="4472">
      <c r="A4472" s="3"/>
      <c r="B4472" s="6" t="s">
        <v>866</v>
      </c>
    </row>
    <row r="4473">
      <c r="A4473" s="3"/>
      <c r="B4473" s="6" t="s">
        <v>866</v>
      </c>
    </row>
    <row r="4474">
      <c r="A4474" s="3"/>
      <c r="B4474" s="6" t="s">
        <v>866</v>
      </c>
    </row>
    <row r="4475">
      <c r="A4475" s="3"/>
      <c r="B4475" s="6" t="s">
        <v>866</v>
      </c>
    </row>
    <row r="4476">
      <c r="A4476" s="3"/>
      <c r="B4476" s="6" t="s">
        <v>866</v>
      </c>
    </row>
    <row r="4477">
      <c r="A4477" s="3"/>
      <c r="B4477" s="6" t="s">
        <v>866</v>
      </c>
    </row>
    <row r="4478">
      <c r="A4478" s="3"/>
      <c r="B4478" s="6" t="s">
        <v>866</v>
      </c>
    </row>
    <row r="4479">
      <c r="A4479" s="3"/>
      <c r="B4479" s="6" t="s">
        <v>866</v>
      </c>
    </row>
    <row r="4480">
      <c r="A4480" s="3"/>
      <c r="B4480" s="6" t="s">
        <v>866</v>
      </c>
    </row>
    <row r="4481">
      <c r="A4481" s="3"/>
      <c r="B4481" s="6" t="s">
        <v>866</v>
      </c>
    </row>
    <row r="4482">
      <c r="A4482" s="3"/>
      <c r="B4482" s="6" t="s">
        <v>866</v>
      </c>
    </row>
    <row r="4483">
      <c r="A4483" s="3"/>
      <c r="B4483" s="6" t="s">
        <v>866</v>
      </c>
    </row>
    <row r="4484">
      <c r="A4484" s="3"/>
      <c r="B4484" s="6" t="s">
        <v>866</v>
      </c>
    </row>
    <row r="4485">
      <c r="A4485" s="3"/>
      <c r="B4485" s="6" t="s">
        <v>866</v>
      </c>
    </row>
    <row r="4486">
      <c r="A4486" s="3"/>
      <c r="B4486" s="6" t="s">
        <v>866</v>
      </c>
    </row>
    <row r="4487">
      <c r="A4487" s="3"/>
      <c r="B4487" s="6" t="s">
        <v>866</v>
      </c>
    </row>
    <row r="4488">
      <c r="A4488" s="3"/>
      <c r="B4488" s="6" t="s">
        <v>866</v>
      </c>
    </row>
    <row r="4489">
      <c r="A4489" s="3"/>
      <c r="B4489" s="6" t="s">
        <v>866</v>
      </c>
    </row>
    <row r="4490">
      <c r="A4490" s="3"/>
      <c r="B4490" s="6" t="s">
        <v>866</v>
      </c>
    </row>
    <row r="4491">
      <c r="A4491" s="3"/>
      <c r="B4491" s="6" t="s">
        <v>866</v>
      </c>
    </row>
    <row r="4492">
      <c r="A4492" s="3"/>
      <c r="B4492" s="6" t="s">
        <v>866</v>
      </c>
    </row>
    <row r="4493">
      <c r="A4493" s="3"/>
      <c r="B4493" s="6" t="s">
        <v>866</v>
      </c>
    </row>
    <row r="4494">
      <c r="A4494" s="3"/>
      <c r="B4494" s="6" t="s">
        <v>866</v>
      </c>
    </row>
    <row r="4495">
      <c r="A4495" s="3"/>
      <c r="B4495" s="6" t="s">
        <v>866</v>
      </c>
    </row>
    <row r="4496">
      <c r="A4496" s="3"/>
      <c r="B4496" s="6" t="s">
        <v>866</v>
      </c>
    </row>
    <row r="4497">
      <c r="A4497" s="3"/>
      <c r="B4497" s="6" t="s">
        <v>866</v>
      </c>
    </row>
    <row r="4498">
      <c r="A4498" s="3"/>
      <c r="B4498" s="6" t="s">
        <v>866</v>
      </c>
    </row>
    <row r="4499">
      <c r="A4499" s="3"/>
      <c r="B4499" s="6" t="s">
        <v>866</v>
      </c>
    </row>
    <row r="4500">
      <c r="A4500" s="3"/>
      <c r="B4500" s="6" t="s">
        <v>866</v>
      </c>
    </row>
    <row r="4501">
      <c r="A4501" s="3"/>
      <c r="B4501" s="6" t="s">
        <v>866</v>
      </c>
    </row>
    <row r="4502">
      <c r="A4502" s="3"/>
      <c r="B4502" s="6" t="s">
        <v>866</v>
      </c>
    </row>
    <row r="4503">
      <c r="A4503" s="3"/>
      <c r="B4503" s="6" t="s">
        <v>866</v>
      </c>
    </row>
    <row r="4504">
      <c r="A4504" s="3"/>
      <c r="B4504" s="6" t="s">
        <v>866</v>
      </c>
    </row>
    <row r="4505">
      <c r="A4505" s="3"/>
      <c r="B4505" s="6" t="s">
        <v>866</v>
      </c>
    </row>
    <row r="4506">
      <c r="A4506" s="3"/>
      <c r="B4506" s="6" t="s">
        <v>866</v>
      </c>
    </row>
    <row r="4507">
      <c r="A4507" s="3"/>
      <c r="B4507" s="6" t="s">
        <v>866</v>
      </c>
    </row>
    <row r="4508">
      <c r="A4508" s="3"/>
      <c r="B4508" s="6" t="s">
        <v>866</v>
      </c>
    </row>
    <row r="4509">
      <c r="A4509" s="3"/>
      <c r="B4509" s="6" t="s">
        <v>866</v>
      </c>
    </row>
    <row r="4510">
      <c r="A4510" s="3"/>
      <c r="B4510" s="6" t="s">
        <v>866</v>
      </c>
    </row>
    <row r="4511">
      <c r="A4511" s="3"/>
      <c r="B4511" s="6" t="s">
        <v>866</v>
      </c>
    </row>
    <row r="4512">
      <c r="A4512" s="3"/>
      <c r="B4512" s="6" t="s">
        <v>866</v>
      </c>
    </row>
    <row r="4513">
      <c r="A4513" s="3"/>
      <c r="B4513" s="6" t="s">
        <v>866</v>
      </c>
    </row>
    <row r="4514">
      <c r="A4514" s="3"/>
      <c r="B4514" s="6" t="s">
        <v>866</v>
      </c>
    </row>
    <row r="4515">
      <c r="A4515" s="3"/>
      <c r="B4515" s="6" t="s">
        <v>866</v>
      </c>
    </row>
    <row r="4516">
      <c r="A4516" s="3"/>
      <c r="B4516" s="6" t="s">
        <v>866</v>
      </c>
    </row>
    <row r="4517">
      <c r="A4517" s="3"/>
      <c r="B4517" s="6" t="s">
        <v>866</v>
      </c>
    </row>
    <row r="4518">
      <c r="A4518" s="3"/>
      <c r="B4518" s="6" t="s">
        <v>866</v>
      </c>
    </row>
    <row r="4519">
      <c r="A4519" s="3"/>
      <c r="B4519" s="6" t="s">
        <v>866</v>
      </c>
    </row>
    <row r="4520">
      <c r="A4520" s="3"/>
      <c r="B4520" s="6" t="s">
        <v>866</v>
      </c>
    </row>
    <row r="4521">
      <c r="A4521" s="3"/>
      <c r="B4521" s="6" t="s">
        <v>866</v>
      </c>
    </row>
    <row r="4522">
      <c r="A4522" s="3"/>
      <c r="B4522" s="6" t="s">
        <v>866</v>
      </c>
    </row>
    <row r="4523">
      <c r="A4523" s="3"/>
      <c r="B4523" s="6" t="s">
        <v>866</v>
      </c>
    </row>
    <row r="4524">
      <c r="A4524" s="3"/>
      <c r="B4524" s="6" t="s">
        <v>866</v>
      </c>
    </row>
    <row r="4525">
      <c r="A4525" s="3"/>
      <c r="B4525" s="6" t="s">
        <v>866</v>
      </c>
    </row>
    <row r="4526">
      <c r="A4526" s="3"/>
      <c r="B4526" s="6" t="s">
        <v>866</v>
      </c>
    </row>
    <row r="4527">
      <c r="A4527" s="3"/>
      <c r="B4527" s="6" t="s">
        <v>866</v>
      </c>
    </row>
    <row r="4528">
      <c r="A4528" s="3"/>
      <c r="B4528" s="6" t="s">
        <v>866</v>
      </c>
    </row>
    <row r="4529">
      <c r="A4529" s="3"/>
      <c r="B4529" s="6" t="s">
        <v>866</v>
      </c>
    </row>
    <row r="4530">
      <c r="A4530" s="3"/>
      <c r="B4530" s="6" t="s">
        <v>866</v>
      </c>
    </row>
    <row r="4531">
      <c r="A4531" s="3"/>
      <c r="B4531" s="6" t="s">
        <v>866</v>
      </c>
    </row>
    <row r="4532">
      <c r="A4532" s="3"/>
      <c r="B4532" s="6" t="s">
        <v>866</v>
      </c>
    </row>
    <row r="4533">
      <c r="A4533" s="3"/>
      <c r="B4533" s="6" t="s">
        <v>866</v>
      </c>
    </row>
    <row r="4534">
      <c r="A4534" s="3"/>
      <c r="B4534" s="6" t="s">
        <v>866</v>
      </c>
    </row>
    <row r="4535">
      <c r="A4535" s="3"/>
      <c r="B4535" s="6" t="s">
        <v>866</v>
      </c>
    </row>
    <row r="4536">
      <c r="A4536" s="3"/>
      <c r="B4536" s="6" t="s">
        <v>866</v>
      </c>
    </row>
    <row r="4537">
      <c r="A4537" s="3"/>
      <c r="B4537" s="6" t="s">
        <v>866</v>
      </c>
    </row>
    <row r="4538">
      <c r="A4538" s="3"/>
      <c r="B4538" s="6" t="s">
        <v>866</v>
      </c>
    </row>
    <row r="4539">
      <c r="A4539" s="3"/>
      <c r="B4539" s="6" t="s">
        <v>866</v>
      </c>
    </row>
    <row r="4540">
      <c r="A4540" s="3"/>
      <c r="B4540" s="6" t="s">
        <v>866</v>
      </c>
    </row>
    <row r="4541">
      <c r="A4541" s="3"/>
      <c r="B4541" s="6" t="s">
        <v>866</v>
      </c>
    </row>
    <row r="4542">
      <c r="A4542" s="3"/>
      <c r="B4542" s="6" t="s">
        <v>866</v>
      </c>
    </row>
    <row r="4543">
      <c r="A4543" s="3"/>
      <c r="B4543" s="6" t="s">
        <v>866</v>
      </c>
    </row>
    <row r="4544">
      <c r="A4544" s="3"/>
      <c r="B4544" s="6" t="s">
        <v>866</v>
      </c>
    </row>
    <row r="4545">
      <c r="A4545" s="3"/>
      <c r="B4545" s="6" t="s">
        <v>866</v>
      </c>
    </row>
    <row r="4546">
      <c r="A4546" s="3"/>
      <c r="B4546" s="6" t="s">
        <v>866</v>
      </c>
    </row>
    <row r="4547">
      <c r="A4547" s="3"/>
      <c r="B4547" s="6" t="s">
        <v>866</v>
      </c>
    </row>
    <row r="4548">
      <c r="A4548" s="3"/>
      <c r="B4548" s="6" t="s">
        <v>866</v>
      </c>
    </row>
    <row r="4549">
      <c r="A4549" s="3"/>
      <c r="B4549" s="6" t="s">
        <v>866</v>
      </c>
    </row>
    <row r="4550">
      <c r="A4550" s="3"/>
      <c r="B4550" s="6" t="s">
        <v>866</v>
      </c>
    </row>
    <row r="4551">
      <c r="A4551" s="3"/>
      <c r="B4551" s="6" t="s">
        <v>866</v>
      </c>
    </row>
    <row r="4552">
      <c r="A4552" s="3"/>
      <c r="B4552" s="6" t="s">
        <v>866</v>
      </c>
    </row>
    <row r="4553">
      <c r="A4553" s="3"/>
      <c r="B4553" s="6" t="s">
        <v>866</v>
      </c>
    </row>
    <row r="4554">
      <c r="A4554" s="3"/>
      <c r="B4554" s="6" t="s">
        <v>866</v>
      </c>
    </row>
    <row r="4555">
      <c r="A4555" s="3"/>
      <c r="B4555" s="6" t="s">
        <v>866</v>
      </c>
    </row>
    <row r="4556">
      <c r="A4556" s="3"/>
      <c r="B4556" s="6" t="s">
        <v>866</v>
      </c>
    </row>
    <row r="4557">
      <c r="A4557" s="3"/>
      <c r="B4557" s="6" t="s">
        <v>866</v>
      </c>
    </row>
    <row r="4558">
      <c r="A4558" s="3"/>
      <c r="B4558" s="6" t="s">
        <v>866</v>
      </c>
    </row>
    <row r="4559">
      <c r="A4559" s="3"/>
      <c r="B4559" s="6" t="s">
        <v>866</v>
      </c>
    </row>
    <row r="4560">
      <c r="A4560" s="3"/>
      <c r="B4560" s="6" t="s">
        <v>866</v>
      </c>
    </row>
    <row r="4561">
      <c r="A4561" s="3"/>
      <c r="B4561" s="6" t="s">
        <v>866</v>
      </c>
    </row>
    <row r="4562">
      <c r="A4562" s="3"/>
      <c r="B4562" s="6" t="s">
        <v>866</v>
      </c>
    </row>
    <row r="4563">
      <c r="A4563" s="3"/>
      <c r="B4563" s="6" t="s">
        <v>866</v>
      </c>
    </row>
    <row r="4564">
      <c r="A4564" s="3"/>
      <c r="B4564" s="6" t="s">
        <v>866</v>
      </c>
    </row>
    <row r="4565">
      <c r="A4565" s="3"/>
      <c r="B4565" s="6" t="s">
        <v>866</v>
      </c>
    </row>
    <row r="4566">
      <c r="A4566" s="3"/>
      <c r="B4566" s="6" t="s">
        <v>866</v>
      </c>
    </row>
    <row r="4567">
      <c r="A4567" s="3"/>
      <c r="B4567" s="6" t="s">
        <v>866</v>
      </c>
    </row>
    <row r="4568">
      <c r="A4568" s="3"/>
      <c r="B4568" s="6" t="s">
        <v>866</v>
      </c>
    </row>
    <row r="4569">
      <c r="A4569" s="3"/>
      <c r="B4569" s="6" t="s">
        <v>866</v>
      </c>
    </row>
    <row r="4570">
      <c r="A4570" s="3"/>
      <c r="B4570" s="6" t="s">
        <v>866</v>
      </c>
    </row>
    <row r="4571">
      <c r="A4571" s="3"/>
      <c r="B4571" s="6" t="s">
        <v>866</v>
      </c>
    </row>
    <row r="4572">
      <c r="A4572" s="3"/>
      <c r="B4572" s="6" t="s">
        <v>866</v>
      </c>
    </row>
    <row r="4573">
      <c r="A4573" s="3"/>
      <c r="B4573" s="6" t="s">
        <v>866</v>
      </c>
    </row>
    <row r="4574">
      <c r="A4574" s="3"/>
      <c r="B4574" s="6" t="s">
        <v>866</v>
      </c>
    </row>
    <row r="4575">
      <c r="A4575" s="3"/>
      <c r="B4575" s="6" t="s">
        <v>866</v>
      </c>
    </row>
    <row r="4576">
      <c r="A4576" s="3"/>
      <c r="B4576" s="6" t="s">
        <v>866</v>
      </c>
    </row>
    <row r="4577">
      <c r="A4577" s="3"/>
      <c r="B4577" s="6" t="s">
        <v>866</v>
      </c>
    </row>
    <row r="4578">
      <c r="A4578" s="3"/>
      <c r="B4578" s="6" t="s">
        <v>866</v>
      </c>
    </row>
    <row r="4579">
      <c r="A4579" s="3"/>
      <c r="B4579" s="6" t="s">
        <v>866</v>
      </c>
    </row>
    <row r="4580">
      <c r="A4580" s="3"/>
      <c r="B4580" s="6" t="s">
        <v>866</v>
      </c>
    </row>
    <row r="4581">
      <c r="A4581" s="3"/>
      <c r="B4581" s="6" t="s">
        <v>866</v>
      </c>
    </row>
    <row r="4582">
      <c r="A4582" s="3"/>
      <c r="B4582" s="6" t="s">
        <v>866</v>
      </c>
    </row>
    <row r="4583">
      <c r="A4583" s="3"/>
      <c r="B4583" s="6" t="s">
        <v>866</v>
      </c>
    </row>
    <row r="4584">
      <c r="A4584" s="3"/>
      <c r="B4584" s="6" t="s">
        <v>866</v>
      </c>
    </row>
    <row r="4585">
      <c r="A4585" s="3"/>
      <c r="B4585" s="6" t="s">
        <v>866</v>
      </c>
    </row>
    <row r="4586">
      <c r="A4586" s="3"/>
      <c r="B4586" s="6" t="s">
        <v>866</v>
      </c>
    </row>
    <row r="4587">
      <c r="A4587" s="3"/>
      <c r="B4587" s="6" t="s">
        <v>866</v>
      </c>
    </row>
    <row r="4588">
      <c r="A4588" s="3"/>
      <c r="B4588" s="6" t="s">
        <v>866</v>
      </c>
    </row>
    <row r="4589">
      <c r="A4589" s="3"/>
      <c r="B4589" s="6" t="s">
        <v>866</v>
      </c>
    </row>
    <row r="4590">
      <c r="A4590" s="3"/>
      <c r="B4590" s="6" t="s">
        <v>866</v>
      </c>
    </row>
    <row r="4591">
      <c r="A4591" s="3"/>
      <c r="B4591" s="6" t="s">
        <v>866</v>
      </c>
    </row>
    <row r="4592">
      <c r="A4592" s="3"/>
      <c r="B4592" s="6" t="s">
        <v>866</v>
      </c>
    </row>
    <row r="4593">
      <c r="A4593" s="3"/>
      <c r="B4593" s="6" t="s">
        <v>866</v>
      </c>
    </row>
    <row r="4594">
      <c r="A4594" s="3"/>
      <c r="B4594" s="6" t="s">
        <v>866</v>
      </c>
    </row>
    <row r="4595">
      <c r="A4595" s="3"/>
      <c r="B4595" s="6" t="s">
        <v>866</v>
      </c>
    </row>
    <row r="4596">
      <c r="A4596" s="3"/>
      <c r="B4596" s="6" t="s">
        <v>866</v>
      </c>
    </row>
    <row r="4597">
      <c r="A4597" s="3"/>
      <c r="B4597" s="6" t="s">
        <v>866</v>
      </c>
    </row>
    <row r="4598">
      <c r="A4598" s="3"/>
      <c r="B4598" s="6" t="s">
        <v>866</v>
      </c>
    </row>
    <row r="4599">
      <c r="A4599" s="3"/>
      <c r="B4599" s="6" t="s">
        <v>866</v>
      </c>
    </row>
    <row r="4600">
      <c r="A4600" s="3"/>
      <c r="B4600" s="6" t="s">
        <v>866</v>
      </c>
    </row>
    <row r="4601">
      <c r="A4601" s="3"/>
      <c r="B4601" s="6" t="s">
        <v>866</v>
      </c>
    </row>
    <row r="4602">
      <c r="A4602" s="3"/>
      <c r="B4602" s="6" t="s">
        <v>866</v>
      </c>
    </row>
    <row r="4603">
      <c r="A4603" s="3"/>
      <c r="B4603" s="6" t="s">
        <v>866</v>
      </c>
    </row>
    <row r="4604">
      <c r="A4604" s="3"/>
      <c r="B4604" s="6" t="s">
        <v>866</v>
      </c>
    </row>
    <row r="4605">
      <c r="A4605" s="3"/>
      <c r="B4605" s="6" t="s">
        <v>866</v>
      </c>
    </row>
    <row r="4606">
      <c r="A4606" s="3"/>
      <c r="B4606" s="6" t="s">
        <v>866</v>
      </c>
    </row>
    <row r="4607">
      <c r="A4607" s="3"/>
      <c r="B4607" s="6" t="s">
        <v>866</v>
      </c>
    </row>
    <row r="4608">
      <c r="A4608" s="3"/>
      <c r="B4608" s="6" t="s">
        <v>866</v>
      </c>
    </row>
    <row r="4609">
      <c r="A4609" s="3"/>
      <c r="B4609" s="6" t="s">
        <v>866</v>
      </c>
    </row>
    <row r="4610">
      <c r="A4610" s="3"/>
      <c r="B4610" s="6" t="s">
        <v>866</v>
      </c>
    </row>
    <row r="4611">
      <c r="A4611" s="3"/>
      <c r="B4611" s="6" t="s">
        <v>866</v>
      </c>
    </row>
    <row r="4612">
      <c r="A4612" s="3"/>
      <c r="B4612" s="6" t="s">
        <v>866</v>
      </c>
    </row>
    <row r="4613">
      <c r="A4613" s="3"/>
      <c r="B4613" s="6" t="s">
        <v>866</v>
      </c>
    </row>
    <row r="4614">
      <c r="A4614" s="3"/>
      <c r="B4614" s="6" t="s">
        <v>866</v>
      </c>
    </row>
    <row r="4615">
      <c r="A4615" s="3"/>
      <c r="B4615" s="6" t="s">
        <v>866</v>
      </c>
    </row>
    <row r="4616">
      <c r="A4616" s="3"/>
      <c r="B4616" s="6" t="s">
        <v>866</v>
      </c>
    </row>
    <row r="4617">
      <c r="A4617" s="3"/>
      <c r="B4617" s="6" t="s">
        <v>866</v>
      </c>
    </row>
    <row r="4618">
      <c r="A4618" s="3"/>
      <c r="B4618" s="6" t="s">
        <v>866</v>
      </c>
    </row>
    <row r="4619">
      <c r="A4619" s="3"/>
      <c r="B4619" s="6" t="s">
        <v>866</v>
      </c>
    </row>
    <row r="4620">
      <c r="A4620" s="3"/>
      <c r="B4620" s="6" t="s">
        <v>866</v>
      </c>
    </row>
    <row r="4621">
      <c r="A4621" s="3"/>
      <c r="B4621" s="6" t="s">
        <v>866</v>
      </c>
    </row>
    <row r="4622">
      <c r="A4622" s="3"/>
      <c r="B4622" s="6" t="s">
        <v>866</v>
      </c>
    </row>
    <row r="4623">
      <c r="A4623" s="3"/>
      <c r="B4623" s="6" t="s">
        <v>866</v>
      </c>
    </row>
    <row r="4624">
      <c r="A4624" s="3"/>
      <c r="B4624" s="6" t="s">
        <v>866</v>
      </c>
    </row>
    <row r="4625">
      <c r="A4625" s="3"/>
      <c r="B4625" s="6" t="s">
        <v>866</v>
      </c>
    </row>
    <row r="4626">
      <c r="A4626" s="3"/>
      <c r="B4626" s="6" t="s">
        <v>866</v>
      </c>
    </row>
    <row r="4627">
      <c r="A4627" s="3"/>
      <c r="B4627" s="6" t="s">
        <v>866</v>
      </c>
    </row>
    <row r="4628">
      <c r="A4628" s="3"/>
      <c r="B4628" s="6" t="s">
        <v>866</v>
      </c>
    </row>
    <row r="4629">
      <c r="A4629" s="3"/>
      <c r="B4629" s="6" t="s">
        <v>866</v>
      </c>
    </row>
    <row r="4630">
      <c r="A4630" s="3"/>
      <c r="B4630" s="6" t="s">
        <v>866</v>
      </c>
    </row>
    <row r="4631">
      <c r="A4631" s="3"/>
      <c r="B4631" s="6" t="s">
        <v>866</v>
      </c>
    </row>
    <row r="4632">
      <c r="A4632" s="3"/>
      <c r="B4632" s="6" t="s">
        <v>866</v>
      </c>
    </row>
    <row r="4633">
      <c r="A4633" s="3"/>
      <c r="B4633" s="6" t="s">
        <v>866</v>
      </c>
    </row>
    <row r="4634">
      <c r="A4634" s="3"/>
      <c r="B4634" s="6" t="s">
        <v>866</v>
      </c>
    </row>
    <row r="4635">
      <c r="A4635" s="3"/>
      <c r="B4635" s="6" t="s">
        <v>866</v>
      </c>
    </row>
    <row r="4636">
      <c r="A4636" s="3"/>
      <c r="B4636" s="6" t="s">
        <v>866</v>
      </c>
    </row>
    <row r="4637">
      <c r="A4637" s="3"/>
      <c r="B4637" s="6" t="s">
        <v>866</v>
      </c>
    </row>
    <row r="4638">
      <c r="A4638" s="3"/>
      <c r="B4638" s="6" t="s">
        <v>866</v>
      </c>
    </row>
    <row r="4639">
      <c r="A4639" s="3"/>
      <c r="B4639" s="6" t="s">
        <v>866</v>
      </c>
    </row>
    <row r="4640">
      <c r="A4640" s="3"/>
      <c r="B4640" s="6" t="s">
        <v>866</v>
      </c>
    </row>
    <row r="4641">
      <c r="A4641" s="3"/>
      <c r="B4641" s="6" t="s">
        <v>866</v>
      </c>
    </row>
    <row r="4642">
      <c r="A4642" s="3"/>
      <c r="B4642" s="6" t="s">
        <v>866</v>
      </c>
    </row>
    <row r="4643">
      <c r="A4643" s="3"/>
      <c r="B4643" s="6" t="s">
        <v>866</v>
      </c>
    </row>
    <row r="4644">
      <c r="A4644" s="3"/>
      <c r="B4644" s="6" t="s">
        <v>866</v>
      </c>
    </row>
    <row r="4645">
      <c r="A4645" s="3"/>
      <c r="B4645" s="6" t="s">
        <v>866</v>
      </c>
    </row>
    <row r="4646">
      <c r="A4646" s="3"/>
      <c r="B4646" s="6" t="s">
        <v>866</v>
      </c>
    </row>
    <row r="4647">
      <c r="A4647" s="3"/>
      <c r="B4647" s="6" t="s">
        <v>866</v>
      </c>
    </row>
    <row r="4648">
      <c r="A4648" s="3"/>
      <c r="B4648" s="6" t="s">
        <v>866</v>
      </c>
    </row>
    <row r="4649">
      <c r="A4649" s="3"/>
      <c r="B4649" s="6" t="s">
        <v>866</v>
      </c>
    </row>
    <row r="4650">
      <c r="A4650" s="3"/>
      <c r="B4650" s="6" t="s">
        <v>866</v>
      </c>
    </row>
    <row r="4651">
      <c r="A4651" s="3"/>
      <c r="B4651" s="6" t="s">
        <v>866</v>
      </c>
    </row>
    <row r="4652">
      <c r="A4652" s="3"/>
      <c r="B4652" s="6" t="s">
        <v>866</v>
      </c>
    </row>
    <row r="4653">
      <c r="A4653" s="3"/>
      <c r="B4653" s="6" t="s">
        <v>866</v>
      </c>
    </row>
    <row r="4654">
      <c r="A4654" s="3"/>
      <c r="B4654" s="6" t="s">
        <v>866</v>
      </c>
    </row>
    <row r="4655">
      <c r="A4655" s="3"/>
      <c r="B4655" s="6" t="s">
        <v>866</v>
      </c>
    </row>
    <row r="4656">
      <c r="A4656" s="3"/>
      <c r="B4656" s="6" t="s">
        <v>866</v>
      </c>
    </row>
    <row r="4657">
      <c r="A4657" s="3"/>
      <c r="B4657" s="6" t="s">
        <v>866</v>
      </c>
    </row>
    <row r="4658">
      <c r="A4658" s="3"/>
      <c r="B4658" s="6" t="s">
        <v>866</v>
      </c>
    </row>
    <row r="4659">
      <c r="B4659" s="10" t="s">
        <v>866</v>
      </c>
    </row>
    <row r="4660">
      <c r="B4660" s="10" t="s">
        <v>866</v>
      </c>
    </row>
    <row r="4661">
      <c r="B4661" s="10" t="s">
        <v>866</v>
      </c>
    </row>
    <row r="4662">
      <c r="B4662" s="10" t="s">
        <v>866</v>
      </c>
    </row>
    <row r="4663">
      <c r="B4663" s="10" t="s">
        <v>866</v>
      </c>
    </row>
    <row r="4664">
      <c r="B4664" s="10" t="s">
        <v>866</v>
      </c>
    </row>
    <row r="4665">
      <c r="B4665" s="10" t="s">
        <v>866</v>
      </c>
    </row>
    <row r="4666">
      <c r="B4666" s="10" t="s">
        <v>866</v>
      </c>
    </row>
    <row r="4667">
      <c r="B4667" s="10" t="s">
        <v>866</v>
      </c>
    </row>
    <row r="4668">
      <c r="B4668" s="10" t="s">
        <v>866</v>
      </c>
    </row>
    <row r="4669">
      <c r="B4669" s="10" t="s">
        <v>866</v>
      </c>
    </row>
    <row r="4670">
      <c r="B4670" s="10" t="s">
        <v>866</v>
      </c>
    </row>
    <row r="4671">
      <c r="B4671" s="10" t="s">
        <v>866</v>
      </c>
    </row>
    <row r="4672">
      <c r="B4672" s="10" t="s">
        <v>866</v>
      </c>
    </row>
    <row r="4673">
      <c r="B4673" s="10" t="s">
        <v>866</v>
      </c>
    </row>
    <row r="4674">
      <c r="B4674" s="10" t="s">
        <v>866</v>
      </c>
    </row>
    <row r="4675">
      <c r="B4675" s="10" t="s">
        <v>866</v>
      </c>
    </row>
    <row r="4676">
      <c r="B4676" s="10" t="s">
        <v>866</v>
      </c>
    </row>
    <row r="4677">
      <c r="B4677" s="10" t="s">
        <v>866</v>
      </c>
    </row>
    <row r="4678">
      <c r="B4678" s="10" t="s">
        <v>866</v>
      </c>
    </row>
    <row r="4679">
      <c r="B4679" s="10" t="s">
        <v>866</v>
      </c>
    </row>
    <row r="4680">
      <c r="B4680" s="10" t="s">
        <v>866</v>
      </c>
    </row>
    <row r="4681">
      <c r="B4681" s="10" t="s">
        <v>866</v>
      </c>
    </row>
    <row r="4682">
      <c r="B4682" s="10" t="s">
        <v>866</v>
      </c>
    </row>
    <row r="4683">
      <c r="B4683" s="10" t="s">
        <v>866</v>
      </c>
    </row>
    <row r="4684">
      <c r="B4684" s="10" t="s">
        <v>866</v>
      </c>
    </row>
    <row r="4685">
      <c r="B4685" s="10" t="s">
        <v>866</v>
      </c>
    </row>
    <row r="4686">
      <c r="B4686" s="10" t="s">
        <v>866</v>
      </c>
    </row>
    <row r="4687">
      <c r="B4687" s="10" t="s">
        <v>866</v>
      </c>
    </row>
    <row r="4688">
      <c r="B4688" s="10" t="s">
        <v>866</v>
      </c>
    </row>
    <row r="4689">
      <c r="B4689" s="10" t="s">
        <v>866</v>
      </c>
    </row>
    <row r="4690">
      <c r="B4690" s="10" t="s">
        <v>866</v>
      </c>
    </row>
    <row r="4691">
      <c r="B4691" s="10" t="s">
        <v>866</v>
      </c>
    </row>
    <row r="4692">
      <c r="B4692" s="10" t="s">
        <v>866</v>
      </c>
    </row>
    <row r="4693">
      <c r="B4693" s="10" t="s">
        <v>866</v>
      </c>
    </row>
    <row r="4694">
      <c r="B4694" s="10" t="s">
        <v>866</v>
      </c>
    </row>
    <row r="4695">
      <c r="B4695" s="10" t="s">
        <v>866</v>
      </c>
    </row>
    <row r="4696">
      <c r="B4696" s="10" t="s">
        <v>866</v>
      </c>
    </row>
    <row r="4697">
      <c r="B4697" s="10" t="s">
        <v>866</v>
      </c>
    </row>
    <row r="4698">
      <c r="B4698" s="10" t="s">
        <v>866</v>
      </c>
    </row>
    <row r="4699">
      <c r="B4699" s="10" t="s">
        <v>866</v>
      </c>
    </row>
    <row r="4700">
      <c r="B4700" s="10" t="s">
        <v>866</v>
      </c>
    </row>
    <row r="4701">
      <c r="B4701" s="10" t="s">
        <v>866</v>
      </c>
    </row>
    <row r="4702">
      <c r="B4702" s="10" t="s">
        <v>866</v>
      </c>
    </row>
    <row r="4703">
      <c r="B4703" s="10" t="s">
        <v>866</v>
      </c>
    </row>
    <row r="4704">
      <c r="B4704" s="10" t="s">
        <v>866</v>
      </c>
    </row>
    <row r="4705">
      <c r="B4705" s="10" t="s">
        <v>866</v>
      </c>
    </row>
    <row r="4706">
      <c r="B4706" s="10" t="s">
        <v>866</v>
      </c>
    </row>
    <row r="4707">
      <c r="B4707" s="10" t="s">
        <v>866</v>
      </c>
    </row>
    <row r="4708">
      <c r="B4708" s="10" t="s">
        <v>866</v>
      </c>
    </row>
    <row r="4709">
      <c r="B4709" s="10" t="s">
        <v>866</v>
      </c>
    </row>
    <row r="4710">
      <c r="B4710" s="10" t="s">
        <v>866</v>
      </c>
    </row>
    <row r="4711">
      <c r="B4711" s="10" t="s">
        <v>866</v>
      </c>
    </row>
    <row r="4712">
      <c r="B4712" s="10" t="s">
        <v>866</v>
      </c>
    </row>
    <row r="4713">
      <c r="B4713" s="10" t="s">
        <v>866</v>
      </c>
    </row>
    <row r="4714">
      <c r="B4714" s="10" t="s">
        <v>866</v>
      </c>
    </row>
    <row r="4715">
      <c r="B4715" s="10" t="s">
        <v>866</v>
      </c>
    </row>
    <row r="4716">
      <c r="B4716" s="10" t="s">
        <v>866</v>
      </c>
    </row>
    <row r="4717">
      <c r="B4717" s="10" t="s">
        <v>866</v>
      </c>
    </row>
    <row r="4718">
      <c r="B4718" s="10" t="s">
        <v>866</v>
      </c>
    </row>
    <row r="4719">
      <c r="B4719" s="10" t="s">
        <v>866</v>
      </c>
    </row>
    <row r="4720">
      <c r="B4720" s="10" t="s">
        <v>866</v>
      </c>
    </row>
    <row r="4721">
      <c r="B4721" s="10" t="s">
        <v>866</v>
      </c>
    </row>
    <row r="4722">
      <c r="B4722" s="10" t="s">
        <v>866</v>
      </c>
    </row>
    <row r="4723">
      <c r="B4723" s="10" t="s">
        <v>866</v>
      </c>
    </row>
    <row r="4724">
      <c r="B4724" s="10" t="s">
        <v>866</v>
      </c>
    </row>
    <row r="4725">
      <c r="B4725" s="10" t="s">
        <v>866</v>
      </c>
    </row>
    <row r="4726">
      <c r="B4726" s="10" t="s">
        <v>866</v>
      </c>
    </row>
    <row r="4727">
      <c r="B4727" s="10" t="s">
        <v>866</v>
      </c>
    </row>
    <row r="4728">
      <c r="B4728" s="10" t="s">
        <v>866</v>
      </c>
    </row>
    <row r="4729">
      <c r="B4729" s="10" t="s">
        <v>866</v>
      </c>
    </row>
    <row r="4730">
      <c r="B4730" s="10" t="s">
        <v>866</v>
      </c>
    </row>
    <row r="4731">
      <c r="B4731" s="10" t="s">
        <v>866</v>
      </c>
    </row>
    <row r="4732">
      <c r="B4732" s="10" t="s">
        <v>866</v>
      </c>
    </row>
    <row r="4733">
      <c r="B4733" s="10" t="s">
        <v>866</v>
      </c>
    </row>
    <row r="4734">
      <c r="B4734" s="10" t="s">
        <v>866</v>
      </c>
    </row>
    <row r="4735">
      <c r="B4735" s="10" t="s">
        <v>866</v>
      </c>
    </row>
    <row r="4736">
      <c r="B4736" s="10" t="s">
        <v>866</v>
      </c>
    </row>
    <row r="4737">
      <c r="B4737" s="10" t="s">
        <v>866</v>
      </c>
    </row>
    <row r="4738">
      <c r="B4738" s="10" t="s">
        <v>866</v>
      </c>
    </row>
    <row r="4739">
      <c r="B4739" s="10" t="s">
        <v>866</v>
      </c>
    </row>
    <row r="4740">
      <c r="B4740" s="10" t="s">
        <v>866</v>
      </c>
    </row>
    <row r="4741">
      <c r="B4741" s="10" t="s">
        <v>866</v>
      </c>
    </row>
    <row r="4742">
      <c r="B4742" s="10" t="s">
        <v>866</v>
      </c>
    </row>
    <row r="4743">
      <c r="B4743" s="10" t="s">
        <v>866</v>
      </c>
    </row>
    <row r="4744">
      <c r="B4744" s="10" t="s">
        <v>866</v>
      </c>
    </row>
    <row r="4745">
      <c r="B4745" s="10" t="s">
        <v>866</v>
      </c>
    </row>
    <row r="4746">
      <c r="B4746" s="10" t="s">
        <v>866</v>
      </c>
    </row>
    <row r="4747">
      <c r="B4747" s="10" t="s">
        <v>866</v>
      </c>
    </row>
    <row r="4748">
      <c r="B4748" s="10" t="s">
        <v>866</v>
      </c>
    </row>
    <row r="4749">
      <c r="B4749" s="10" t="s">
        <v>866</v>
      </c>
    </row>
    <row r="4750">
      <c r="B4750" s="10" t="s">
        <v>866</v>
      </c>
    </row>
    <row r="4751">
      <c r="B4751" s="10" t="s">
        <v>866</v>
      </c>
    </row>
    <row r="4752">
      <c r="B4752" s="10" t="s">
        <v>866</v>
      </c>
    </row>
    <row r="4753">
      <c r="B4753" s="10" t="s">
        <v>866</v>
      </c>
    </row>
    <row r="4754">
      <c r="B4754" s="10" t="s">
        <v>866</v>
      </c>
    </row>
    <row r="4755">
      <c r="B4755" s="10" t="s">
        <v>866</v>
      </c>
    </row>
    <row r="4756">
      <c r="B4756" s="10" t="s">
        <v>866</v>
      </c>
    </row>
    <row r="4757">
      <c r="B4757" s="10" t="s">
        <v>866</v>
      </c>
    </row>
    <row r="4758">
      <c r="B4758" s="10" t="s">
        <v>866</v>
      </c>
    </row>
    <row r="4759">
      <c r="B4759" s="10" t="s">
        <v>866</v>
      </c>
    </row>
    <row r="4760">
      <c r="B4760" s="10" t="s">
        <v>866</v>
      </c>
    </row>
    <row r="4761">
      <c r="B4761" s="10" t="s">
        <v>866</v>
      </c>
    </row>
    <row r="4762">
      <c r="B4762" s="10" t="s">
        <v>866</v>
      </c>
    </row>
    <row r="4763">
      <c r="B4763" s="10" t="s">
        <v>866</v>
      </c>
    </row>
    <row r="4764">
      <c r="B4764" s="10" t="s">
        <v>866</v>
      </c>
    </row>
    <row r="4765">
      <c r="B4765" s="10" t="s">
        <v>866</v>
      </c>
    </row>
    <row r="4766">
      <c r="B4766" s="10" t="s">
        <v>866</v>
      </c>
    </row>
    <row r="4767">
      <c r="B4767" s="10" t="s">
        <v>866</v>
      </c>
    </row>
    <row r="4768">
      <c r="B4768" s="10" t="s">
        <v>866</v>
      </c>
    </row>
    <row r="4769">
      <c r="B4769" s="10" t="s">
        <v>866</v>
      </c>
    </row>
    <row r="4770">
      <c r="B4770" s="10" t="s">
        <v>866</v>
      </c>
    </row>
    <row r="4771">
      <c r="B4771" s="10" t="s">
        <v>866</v>
      </c>
    </row>
    <row r="4772">
      <c r="B4772" s="10" t="s">
        <v>866</v>
      </c>
    </row>
    <row r="4773">
      <c r="B4773" s="10" t="s">
        <v>866</v>
      </c>
    </row>
    <row r="4774">
      <c r="B4774" s="10" t="s">
        <v>866</v>
      </c>
    </row>
    <row r="4775">
      <c r="B4775" s="10" t="s">
        <v>866</v>
      </c>
    </row>
    <row r="4776">
      <c r="B4776" s="10" t="s">
        <v>866</v>
      </c>
    </row>
    <row r="4777">
      <c r="B4777" s="10" t="s">
        <v>866</v>
      </c>
    </row>
    <row r="4778">
      <c r="B4778" s="10" t="s">
        <v>866</v>
      </c>
    </row>
    <row r="4779">
      <c r="B4779" s="10" t="s">
        <v>866</v>
      </c>
    </row>
    <row r="4780">
      <c r="B4780" s="10" t="s">
        <v>866</v>
      </c>
    </row>
    <row r="4781">
      <c r="B4781" s="10" t="s">
        <v>866</v>
      </c>
    </row>
    <row r="4782">
      <c r="B4782" s="10" t="s">
        <v>866</v>
      </c>
    </row>
    <row r="4783">
      <c r="B4783" s="10" t="s">
        <v>866</v>
      </c>
    </row>
    <row r="4784">
      <c r="B4784" s="10" t="s">
        <v>866</v>
      </c>
    </row>
    <row r="4785">
      <c r="B4785" s="10" t="s">
        <v>866</v>
      </c>
    </row>
    <row r="4786">
      <c r="B4786" s="10" t="s">
        <v>866</v>
      </c>
    </row>
    <row r="4787">
      <c r="B4787" s="10" t="s">
        <v>866</v>
      </c>
    </row>
    <row r="4788">
      <c r="B4788" s="10" t="s">
        <v>866</v>
      </c>
    </row>
    <row r="4789">
      <c r="B4789" s="10" t="s">
        <v>866</v>
      </c>
    </row>
    <row r="4790">
      <c r="B4790" s="10" t="s">
        <v>866</v>
      </c>
    </row>
    <row r="4791">
      <c r="B4791" s="10" t="s">
        <v>866</v>
      </c>
    </row>
    <row r="4792">
      <c r="B4792" s="10" t="s">
        <v>866</v>
      </c>
    </row>
    <row r="4793">
      <c r="B4793" s="10" t="s">
        <v>866</v>
      </c>
    </row>
    <row r="4794">
      <c r="B4794" s="10" t="s">
        <v>866</v>
      </c>
    </row>
    <row r="4795">
      <c r="B4795" s="10" t="s">
        <v>866</v>
      </c>
    </row>
    <row r="4796">
      <c r="B4796" s="10" t="s">
        <v>866</v>
      </c>
    </row>
    <row r="4797">
      <c r="B4797" s="10" t="s">
        <v>866</v>
      </c>
    </row>
    <row r="4798">
      <c r="B4798" s="10" t="s">
        <v>866</v>
      </c>
    </row>
    <row r="4799">
      <c r="B4799" s="10" t="s">
        <v>866</v>
      </c>
    </row>
    <row r="4800">
      <c r="B4800" s="10" t="s">
        <v>866</v>
      </c>
    </row>
    <row r="4801">
      <c r="B4801" s="10" t="s">
        <v>866</v>
      </c>
    </row>
    <row r="4802">
      <c r="B4802" s="10" t="s">
        <v>866</v>
      </c>
    </row>
    <row r="4803">
      <c r="B4803" s="10" t="s">
        <v>866</v>
      </c>
    </row>
    <row r="4804">
      <c r="B4804" s="10" t="s">
        <v>866</v>
      </c>
    </row>
    <row r="4805">
      <c r="B4805" s="10" t="s">
        <v>866</v>
      </c>
    </row>
    <row r="4806">
      <c r="B4806" s="10" t="s">
        <v>866</v>
      </c>
    </row>
    <row r="4807">
      <c r="B4807" s="10" t="s">
        <v>866</v>
      </c>
    </row>
    <row r="4808">
      <c r="B4808" s="10" t="s">
        <v>866</v>
      </c>
    </row>
    <row r="4809">
      <c r="B4809" s="10" t="s">
        <v>866</v>
      </c>
    </row>
    <row r="4810">
      <c r="B4810" s="10" t="s">
        <v>866</v>
      </c>
    </row>
    <row r="4811">
      <c r="B4811" s="10" t="s">
        <v>866</v>
      </c>
    </row>
    <row r="4812">
      <c r="B4812" s="10" t="s">
        <v>866</v>
      </c>
    </row>
    <row r="4813">
      <c r="B4813" s="10" t="s">
        <v>866</v>
      </c>
    </row>
    <row r="4814">
      <c r="B4814" s="10" t="s">
        <v>866</v>
      </c>
    </row>
    <row r="4815">
      <c r="B4815" s="10" t="s">
        <v>866</v>
      </c>
    </row>
    <row r="4816">
      <c r="B4816" s="10" t="s">
        <v>866</v>
      </c>
    </row>
    <row r="4817">
      <c r="B4817" s="10" t="s">
        <v>866</v>
      </c>
    </row>
    <row r="4818">
      <c r="B4818" s="10" t="s">
        <v>866</v>
      </c>
    </row>
    <row r="4819">
      <c r="B4819" s="10" t="s">
        <v>866</v>
      </c>
    </row>
    <row r="4820">
      <c r="B4820" s="10" t="s">
        <v>866</v>
      </c>
    </row>
    <row r="4821">
      <c r="B4821" s="10" t="s">
        <v>866</v>
      </c>
    </row>
    <row r="4822">
      <c r="B4822" s="10" t="s">
        <v>866</v>
      </c>
    </row>
    <row r="4823">
      <c r="B4823" s="10" t="s">
        <v>866</v>
      </c>
    </row>
    <row r="4824">
      <c r="B4824" s="10" t="s">
        <v>866</v>
      </c>
    </row>
    <row r="4825">
      <c r="B4825" s="10" t="s">
        <v>866</v>
      </c>
    </row>
    <row r="4826">
      <c r="B4826" s="10" t="s">
        <v>866</v>
      </c>
    </row>
    <row r="4827">
      <c r="B4827" s="10" t="s">
        <v>866</v>
      </c>
    </row>
    <row r="4828">
      <c r="B4828" s="10" t="s">
        <v>866</v>
      </c>
    </row>
    <row r="4829">
      <c r="B4829" s="10" t="s">
        <v>866</v>
      </c>
    </row>
    <row r="4830">
      <c r="B4830" s="10" t="s">
        <v>866</v>
      </c>
    </row>
    <row r="4831">
      <c r="B4831" s="10" t="s">
        <v>866</v>
      </c>
    </row>
    <row r="4832">
      <c r="B4832" s="10" t="s">
        <v>866</v>
      </c>
    </row>
    <row r="4833">
      <c r="B4833" s="10" t="s">
        <v>866</v>
      </c>
    </row>
    <row r="4834">
      <c r="B4834" s="10" t="s">
        <v>866</v>
      </c>
    </row>
    <row r="4835">
      <c r="B4835" s="10" t="s">
        <v>866</v>
      </c>
    </row>
    <row r="4836">
      <c r="B4836" s="10" t="s">
        <v>866</v>
      </c>
    </row>
    <row r="4837">
      <c r="B4837" s="10" t="s">
        <v>866</v>
      </c>
    </row>
    <row r="4838">
      <c r="B4838" s="10" t="s">
        <v>866</v>
      </c>
    </row>
    <row r="4839">
      <c r="B4839" s="10" t="s">
        <v>866</v>
      </c>
    </row>
    <row r="4840">
      <c r="B4840" s="10" t="s">
        <v>866</v>
      </c>
    </row>
    <row r="4841">
      <c r="B4841" s="10" t="s">
        <v>866</v>
      </c>
    </row>
    <row r="4842">
      <c r="B4842" s="10" t="s">
        <v>866</v>
      </c>
    </row>
    <row r="4843">
      <c r="B4843" s="10" t="s">
        <v>866</v>
      </c>
    </row>
    <row r="4844">
      <c r="B4844" s="10" t="s">
        <v>866</v>
      </c>
    </row>
    <row r="4845">
      <c r="B4845" s="10" t="s">
        <v>866</v>
      </c>
    </row>
    <row r="4846">
      <c r="B4846" s="10" t="s">
        <v>866</v>
      </c>
    </row>
    <row r="4847">
      <c r="B4847" s="10" t="s">
        <v>866</v>
      </c>
    </row>
    <row r="4848">
      <c r="B4848" s="10" t="s">
        <v>866</v>
      </c>
    </row>
    <row r="4849">
      <c r="B4849" s="10" t="s">
        <v>866</v>
      </c>
    </row>
    <row r="4850">
      <c r="B4850" s="10" t="s">
        <v>866</v>
      </c>
    </row>
    <row r="4851">
      <c r="B4851" s="10" t="s">
        <v>866</v>
      </c>
    </row>
    <row r="4852">
      <c r="B4852" s="10" t="s">
        <v>866</v>
      </c>
    </row>
    <row r="4853">
      <c r="B4853" s="10" t="s">
        <v>866</v>
      </c>
    </row>
    <row r="4854">
      <c r="B4854" s="10" t="s">
        <v>866</v>
      </c>
    </row>
    <row r="4855">
      <c r="B4855" s="10" t="s">
        <v>866</v>
      </c>
    </row>
    <row r="4856">
      <c r="B4856" s="10" t="s">
        <v>866</v>
      </c>
    </row>
    <row r="4857">
      <c r="B4857" s="10" t="s">
        <v>866</v>
      </c>
    </row>
    <row r="4858">
      <c r="B4858" s="10" t="s">
        <v>866</v>
      </c>
    </row>
    <row r="4859">
      <c r="B4859" s="10" t="s">
        <v>866</v>
      </c>
    </row>
    <row r="4860">
      <c r="B4860" s="10" t="s">
        <v>866</v>
      </c>
    </row>
    <row r="4861">
      <c r="B4861" s="10" t="s">
        <v>866</v>
      </c>
    </row>
    <row r="4862">
      <c r="B4862" s="10" t="s">
        <v>866</v>
      </c>
    </row>
    <row r="4863">
      <c r="B4863" s="10" t="s">
        <v>866</v>
      </c>
    </row>
    <row r="4864">
      <c r="B4864" s="10" t="s">
        <v>866</v>
      </c>
    </row>
    <row r="4865">
      <c r="B4865" s="10" t="s">
        <v>866</v>
      </c>
    </row>
    <row r="4866">
      <c r="B4866" s="10" t="s">
        <v>866</v>
      </c>
    </row>
    <row r="4867">
      <c r="B4867" s="10" t="s">
        <v>866</v>
      </c>
    </row>
    <row r="4868">
      <c r="B4868" s="10" t="s">
        <v>866</v>
      </c>
    </row>
    <row r="4869">
      <c r="B4869" s="10" t="s">
        <v>866</v>
      </c>
    </row>
    <row r="4870">
      <c r="B4870" s="10" t="s">
        <v>866</v>
      </c>
    </row>
    <row r="4871">
      <c r="B4871" s="10" t="s">
        <v>866</v>
      </c>
    </row>
    <row r="4872">
      <c r="B4872" s="10" t="s">
        <v>866</v>
      </c>
    </row>
    <row r="4873">
      <c r="B4873" s="10" t="s">
        <v>866</v>
      </c>
    </row>
    <row r="4874">
      <c r="B4874" s="10" t="s">
        <v>866</v>
      </c>
    </row>
    <row r="4875">
      <c r="B4875" s="10" t="s">
        <v>866</v>
      </c>
    </row>
    <row r="4876">
      <c r="B4876" s="10" t="s">
        <v>866</v>
      </c>
    </row>
    <row r="4877">
      <c r="B4877" s="10" t="s">
        <v>866</v>
      </c>
    </row>
    <row r="4878">
      <c r="B4878" s="10" t="s">
        <v>866</v>
      </c>
    </row>
    <row r="4879">
      <c r="B4879" s="10" t="s">
        <v>866</v>
      </c>
    </row>
    <row r="4880">
      <c r="B4880" s="10" t="s">
        <v>866</v>
      </c>
    </row>
    <row r="4881">
      <c r="B4881" s="10" t="s">
        <v>866</v>
      </c>
    </row>
    <row r="4882">
      <c r="B4882" s="10" t="s">
        <v>866</v>
      </c>
    </row>
    <row r="4883">
      <c r="B4883" s="10" t="s">
        <v>866</v>
      </c>
    </row>
    <row r="4884">
      <c r="B4884" s="10" t="s">
        <v>866</v>
      </c>
    </row>
    <row r="4885">
      <c r="B4885" s="10" t="s">
        <v>866</v>
      </c>
    </row>
    <row r="4886">
      <c r="B4886" s="10" t="s">
        <v>866</v>
      </c>
    </row>
    <row r="4887">
      <c r="B4887" s="10" t="s">
        <v>866</v>
      </c>
    </row>
    <row r="4888">
      <c r="B4888" s="10" t="s">
        <v>866</v>
      </c>
    </row>
    <row r="4889">
      <c r="B4889" s="10" t="s">
        <v>866</v>
      </c>
    </row>
    <row r="4890">
      <c r="B4890" s="10" t="s">
        <v>866</v>
      </c>
    </row>
    <row r="4891">
      <c r="B4891" s="10" t="s">
        <v>866</v>
      </c>
    </row>
    <row r="4892">
      <c r="B4892" s="10" t="s">
        <v>866</v>
      </c>
    </row>
    <row r="4893">
      <c r="B4893" s="10" t="s">
        <v>866</v>
      </c>
    </row>
    <row r="4894">
      <c r="B4894" s="10" t="s">
        <v>866</v>
      </c>
    </row>
    <row r="4895">
      <c r="B4895" s="10" t="s">
        <v>866</v>
      </c>
    </row>
    <row r="4896">
      <c r="B4896" s="10" t="s">
        <v>866</v>
      </c>
    </row>
    <row r="4897">
      <c r="B4897" s="10" t="s">
        <v>866</v>
      </c>
    </row>
    <row r="4898">
      <c r="B4898" s="10" t="s">
        <v>866</v>
      </c>
    </row>
    <row r="4899">
      <c r="B4899" s="10" t="s">
        <v>866</v>
      </c>
    </row>
    <row r="4900">
      <c r="B4900" s="10" t="s">
        <v>866</v>
      </c>
    </row>
    <row r="4901">
      <c r="B4901" s="10" t="s">
        <v>866</v>
      </c>
    </row>
    <row r="4902">
      <c r="B4902" s="10" t="s">
        <v>866</v>
      </c>
    </row>
    <row r="4903">
      <c r="B4903" s="10" t="s">
        <v>866</v>
      </c>
    </row>
    <row r="4904">
      <c r="B4904" s="10" t="s">
        <v>866</v>
      </c>
    </row>
    <row r="4905">
      <c r="B4905" s="10" t="s">
        <v>866</v>
      </c>
    </row>
    <row r="4906">
      <c r="B4906" s="10" t="s">
        <v>866</v>
      </c>
    </row>
    <row r="4907">
      <c r="B4907" s="10" t="s">
        <v>866</v>
      </c>
    </row>
    <row r="4908">
      <c r="B4908" s="10" t="s">
        <v>866</v>
      </c>
    </row>
    <row r="4909">
      <c r="B4909" s="10" t="s">
        <v>866</v>
      </c>
    </row>
    <row r="4910">
      <c r="B4910" s="10" t="s">
        <v>866</v>
      </c>
    </row>
    <row r="4911">
      <c r="B4911" s="10" t="s">
        <v>866</v>
      </c>
    </row>
    <row r="4912">
      <c r="B4912" s="10" t="s">
        <v>866</v>
      </c>
    </row>
    <row r="4913">
      <c r="B4913" s="10" t="s">
        <v>866</v>
      </c>
    </row>
    <row r="4914">
      <c r="B4914" s="10" t="s">
        <v>866</v>
      </c>
    </row>
    <row r="4915">
      <c r="B4915" s="10" t="s">
        <v>866</v>
      </c>
    </row>
    <row r="4916">
      <c r="B4916" s="10" t="s">
        <v>866</v>
      </c>
    </row>
    <row r="4917">
      <c r="B4917" s="10" t="s">
        <v>866</v>
      </c>
    </row>
    <row r="4918">
      <c r="B4918" s="10" t="s">
        <v>866</v>
      </c>
    </row>
    <row r="4919">
      <c r="B4919" s="10" t="s">
        <v>866</v>
      </c>
    </row>
    <row r="4920">
      <c r="B4920" s="10" t="s">
        <v>866</v>
      </c>
    </row>
    <row r="4921">
      <c r="B4921" s="10" t="s">
        <v>866</v>
      </c>
    </row>
    <row r="4922">
      <c r="B4922" s="10" t="s">
        <v>866</v>
      </c>
    </row>
    <row r="4923">
      <c r="B4923" s="10" t="s">
        <v>866</v>
      </c>
    </row>
    <row r="4924">
      <c r="B4924" s="10" t="s">
        <v>866</v>
      </c>
    </row>
    <row r="4925">
      <c r="B4925" s="10" t="s">
        <v>866</v>
      </c>
    </row>
    <row r="4926">
      <c r="B4926" s="10" t="s">
        <v>866</v>
      </c>
    </row>
    <row r="4927">
      <c r="B4927" s="10" t="s">
        <v>866</v>
      </c>
    </row>
    <row r="4928">
      <c r="B4928" s="10" t="s">
        <v>866</v>
      </c>
    </row>
    <row r="4929">
      <c r="B4929" s="10" t="s">
        <v>866</v>
      </c>
    </row>
    <row r="4930">
      <c r="B4930" s="10" t="s">
        <v>866</v>
      </c>
    </row>
    <row r="4931">
      <c r="B4931" s="10" t="s">
        <v>866</v>
      </c>
    </row>
    <row r="4932">
      <c r="B4932" s="10" t="s">
        <v>866</v>
      </c>
    </row>
    <row r="4933">
      <c r="B4933" s="10" t="s">
        <v>866</v>
      </c>
    </row>
    <row r="4934">
      <c r="B4934" s="10" t="s">
        <v>866</v>
      </c>
    </row>
    <row r="4935">
      <c r="B4935" s="10" t="s">
        <v>866</v>
      </c>
    </row>
    <row r="4936">
      <c r="B4936" s="10" t="s">
        <v>866</v>
      </c>
    </row>
    <row r="4937">
      <c r="B4937" s="10" t="s">
        <v>866</v>
      </c>
    </row>
    <row r="4938">
      <c r="B4938" s="10" t="s">
        <v>866</v>
      </c>
    </row>
    <row r="4939">
      <c r="B4939" s="10" t="s">
        <v>866</v>
      </c>
    </row>
    <row r="4940">
      <c r="B4940" s="10" t="s">
        <v>866</v>
      </c>
    </row>
    <row r="4941">
      <c r="B4941" s="10" t="s">
        <v>866</v>
      </c>
    </row>
    <row r="4942">
      <c r="B4942" s="10" t="s">
        <v>866</v>
      </c>
    </row>
    <row r="4943">
      <c r="B4943" s="10" t="s">
        <v>866</v>
      </c>
    </row>
    <row r="4944">
      <c r="B4944" s="10" t="s">
        <v>866</v>
      </c>
    </row>
    <row r="4945">
      <c r="B4945" s="10" t="s">
        <v>866</v>
      </c>
    </row>
    <row r="4946">
      <c r="B4946" s="10" t="s">
        <v>866</v>
      </c>
    </row>
    <row r="4947">
      <c r="B4947" s="10" t="s">
        <v>866</v>
      </c>
    </row>
    <row r="4948">
      <c r="B4948" s="10" t="s">
        <v>866</v>
      </c>
    </row>
    <row r="4949">
      <c r="B4949" s="10" t="s">
        <v>866</v>
      </c>
    </row>
    <row r="4950">
      <c r="B4950" s="10" t="s">
        <v>866</v>
      </c>
    </row>
    <row r="4951">
      <c r="B4951" s="10" t="s">
        <v>866</v>
      </c>
    </row>
    <row r="4952">
      <c r="B4952" s="10" t="s">
        <v>866</v>
      </c>
    </row>
    <row r="4953">
      <c r="B4953" s="10" t="s">
        <v>866</v>
      </c>
    </row>
    <row r="4954">
      <c r="B4954" s="10" t="s">
        <v>866</v>
      </c>
    </row>
    <row r="4955">
      <c r="B4955" s="10" t="s">
        <v>866</v>
      </c>
    </row>
    <row r="4956">
      <c r="B4956" s="10" t="s">
        <v>866</v>
      </c>
    </row>
    <row r="4957">
      <c r="B4957" s="10" t="s">
        <v>866</v>
      </c>
    </row>
    <row r="4958">
      <c r="B4958" s="10" t="s">
        <v>866</v>
      </c>
    </row>
    <row r="4959">
      <c r="B4959" s="10" t="s">
        <v>866</v>
      </c>
    </row>
    <row r="4960">
      <c r="B4960" s="10" t="s">
        <v>866</v>
      </c>
    </row>
    <row r="4961">
      <c r="B4961" s="10" t="s">
        <v>866</v>
      </c>
    </row>
    <row r="4962">
      <c r="B4962" s="10" t="s">
        <v>866</v>
      </c>
    </row>
    <row r="4963">
      <c r="B4963" s="10" t="s">
        <v>866</v>
      </c>
    </row>
    <row r="4964">
      <c r="B4964" s="10" t="s">
        <v>866</v>
      </c>
    </row>
    <row r="4965">
      <c r="B4965" s="10" t="s">
        <v>866</v>
      </c>
    </row>
    <row r="4966">
      <c r="B4966" s="10" t="s">
        <v>866</v>
      </c>
    </row>
    <row r="4967">
      <c r="B4967" s="10" t="s">
        <v>866</v>
      </c>
    </row>
    <row r="4968">
      <c r="B4968" s="10" t="s">
        <v>866</v>
      </c>
    </row>
    <row r="4969">
      <c r="B4969" s="10" t="s">
        <v>866</v>
      </c>
    </row>
    <row r="4970">
      <c r="B4970" s="10" t="s">
        <v>866</v>
      </c>
    </row>
    <row r="4971">
      <c r="B4971" s="10" t="s">
        <v>866</v>
      </c>
    </row>
    <row r="4972">
      <c r="B4972" s="10" t="s">
        <v>866</v>
      </c>
    </row>
    <row r="4973">
      <c r="B4973" s="10" t="s">
        <v>866</v>
      </c>
    </row>
    <row r="4974">
      <c r="B4974" s="10" t="s">
        <v>866</v>
      </c>
    </row>
    <row r="4975">
      <c r="B4975" s="10" t="s">
        <v>866</v>
      </c>
    </row>
    <row r="4976">
      <c r="B4976" s="10" t="s">
        <v>866</v>
      </c>
    </row>
    <row r="4977">
      <c r="B4977" s="10" t="s">
        <v>866</v>
      </c>
    </row>
    <row r="4978">
      <c r="B4978" s="10" t="s">
        <v>866</v>
      </c>
    </row>
    <row r="4979">
      <c r="B4979" s="10" t="s">
        <v>866</v>
      </c>
    </row>
    <row r="4980">
      <c r="B4980" s="10" t="s">
        <v>866</v>
      </c>
    </row>
    <row r="4981">
      <c r="B4981" s="10" t="s">
        <v>866</v>
      </c>
    </row>
    <row r="4982">
      <c r="B4982" s="10" t="s">
        <v>866</v>
      </c>
    </row>
    <row r="4983">
      <c r="B4983" s="10" t="s">
        <v>866</v>
      </c>
    </row>
    <row r="4984">
      <c r="B4984" s="10" t="s">
        <v>866</v>
      </c>
    </row>
    <row r="4985">
      <c r="B4985" s="10" t="s">
        <v>866</v>
      </c>
    </row>
    <row r="4986">
      <c r="B4986" s="10" t="s">
        <v>866</v>
      </c>
    </row>
    <row r="4987">
      <c r="B4987" s="10" t="s">
        <v>866</v>
      </c>
    </row>
    <row r="4988">
      <c r="B4988" s="10" t="s">
        <v>866</v>
      </c>
    </row>
    <row r="4989">
      <c r="B4989" s="10" t="s">
        <v>866</v>
      </c>
    </row>
    <row r="4990">
      <c r="B4990" s="10" t="s">
        <v>866</v>
      </c>
    </row>
    <row r="4991">
      <c r="B4991" s="10" t="s">
        <v>866</v>
      </c>
    </row>
    <row r="4992">
      <c r="B4992" s="10" t="s">
        <v>866</v>
      </c>
    </row>
    <row r="4993">
      <c r="B4993" s="10" t="s">
        <v>866</v>
      </c>
    </row>
    <row r="4994">
      <c r="B4994" s="10" t="s">
        <v>866</v>
      </c>
    </row>
    <row r="4995">
      <c r="B4995" s="10" t="s">
        <v>866</v>
      </c>
    </row>
    <row r="4996">
      <c r="B4996" s="10" t="s">
        <v>866</v>
      </c>
    </row>
    <row r="4997">
      <c r="B4997" s="10" t="s">
        <v>866</v>
      </c>
    </row>
    <row r="4998">
      <c r="B4998" s="10" t="s">
        <v>866</v>
      </c>
    </row>
    <row r="4999">
      <c r="B4999" s="10" t="s">
        <v>866</v>
      </c>
    </row>
    <row r="5000">
      <c r="B5000" s="10" t="s">
        <v>866</v>
      </c>
    </row>
    <row r="5001">
      <c r="B5001" s="10" t="s">
        <v>866</v>
      </c>
    </row>
    <row r="5002">
      <c r="B5002" s="10" t="s">
        <v>866</v>
      </c>
    </row>
    <row r="5003">
      <c r="B5003" s="10" t="s">
        <v>866</v>
      </c>
    </row>
    <row r="5004">
      <c r="B5004" s="10" t="s">
        <v>866</v>
      </c>
    </row>
    <row r="5005">
      <c r="B5005" s="10" t="s">
        <v>866</v>
      </c>
    </row>
    <row r="5006">
      <c r="B5006" s="10" t="s">
        <v>866</v>
      </c>
    </row>
    <row r="5007">
      <c r="B5007" s="10" t="s">
        <v>866</v>
      </c>
    </row>
    <row r="5008">
      <c r="B5008" s="10" t="s">
        <v>866</v>
      </c>
    </row>
    <row r="5009">
      <c r="B5009" s="10" t="s">
        <v>866</v>
      </c>
    </row>
    <row r="5010">
      <c r="B5010" s="10" t="s">
        <v>866</v>
      </c>
    </row>
    <row r="5011">
      <c r="B5011" s="10" t="s">
        <v>866</v>
      </c>
    </row>
    <row r="5012">
      <c r="B5012" s="10" t="s">
        <v>866</v>
      </c>
    </row>
    <row r="5013">
      <c r="B5013" s="10" t="s">
        <v>866</v>
      </c>
    </row>
    <row r="5014">
      <c r="B5014" s="10" t="s">
        <v>866</v>
      </c>
    </row>
    <row r="5015">
      <c r="B5015" s="10" t="s">
        <v>866</v>
      </c>
    </row>
    <row r="5016">
      <c r="B5016" s="10" t="s">
        <v>866</v>
      </c>
    </row>
    <row r="5017">
      <c r="B5017" s="10" t="s">
        <v>866</v>
      </c>
    </row>
    <row r="5018">
      <c r="B5018" s="10" t="s">
        <v>866</v>
      </c>
    </row>
    <row r="5019">
      <c r="B5019" s="10" t="s">
        <v>866</v>
      </c>
    </row>
    <row r="5020">
      <c r="B5020" s="10" t="s">
        <v>866</v>
      </c>
    </row>
    <row r="5021">
      <c r="B5021" s="10" t="s">
        <v>866</v>
      </c>
    </row>
    <row r="5022">
      <c r="B5022" s="10" t="s">
        <v>866</v>
      </c>
    </row>
    <row r="5023">
      <c r="B5023" s="10" t="s">
        <v>866</v>
      </c>
    </row>
    <row r="5024">
      <c r="B5024" s="10" t="s">
        <v>866</v>
      </c>
    </row>
    <row r="5025">
      <c r="B5025" s="10" t="s">
        <v>866</v>
      </c>
    </row>
    <row r="5026">
      <c r="B5026" s="10" t="s">
        <v>866</v>
      </c>
    </row>
    <row r="5027">
      <c r="B5027" s="10" t="s">
        <v>866</v>
      </c>
    </row>
    <row r="5028">
      <c r="B5028" s="10" t="s">
        <v>866</v>
      </c>
    </row>
    <row r="5029">
      <c r="B5029" s="10" t="s">
        <v>866</v>
      </c>
    </row>
    <row r="5030">
      <c r="B5030" s="10" t="s">
        <v>866</v>
      </c>
    </row>
    <row r="5031">
      <c r="B5031" s="10" t="s">
        <v>866</v>
      </c>
    </row>
    <row r="5032">
      <c r="B5032" s="10" t="s">
        <v>866</v>
      </c>
    </row>
    <row r="5033">
      <c r="B5033" s="10" t="s">
        <v>866</v>
      </c>
    </row>
    <row r="5034">
      <c r="B5034" s="10" t="s">
        <v>866</v>
      </c>
    </row>
    <row r="5035">
      <c r="B5035" s="10" t="s">
        <v>866</v>
      </c>
    </row>
    <row r="5036">
      <c r="B5036" s="10" t="s">
        <v>866</v>
      </c>
    </row>
    <row r="5037">
      <c r="B5037" s="10" t="s">
        <v>866</v>
      </c>
    </row>
    <row r="5038">
      <c r="B5038" s="10" t="s">
        <v>866</v>
      </c>
    </row>
    <row r="5039">
      <c r="B5039" s="10" t="s">
        <v>866</v>
      </c>
    </row>
    <row r="5040">
      <c r="B5040" s="10" t="s">
        <v>866</v>
      </c>
    </row>
    <row r="5041">
      <c r="B5041" s="10" t="s">
        <v>866</v>
      </c>
    </row>
    <row r="5042">
      <c r="B5042" s="10" t="s">
        <v>866</v>
      </c>
    </row>
    <row r="5043">
      <c r="B5043" s="10" t="s">
        <v>866</v>
      </c>
    </row>
    <row r="5044">
      <c r="B5044" s="10" t="s">
        <v>866</v>
      </c>
    </row>
    <row r="5045">
      <c r="B5045" s="10" t="s">
        <v>866</v>
      </c>
    </row>
    <row r="5046">
      <c r="B5046" s="10" t="s">
        <v>866</v>
      </c>
    </row>
    <row r="5047">
      <c r="B5047" s="10" t="s">
        <v>866</v>
      </c>
    </row>
    <row r="5048">
      <c r="B5048" s="10" t="s">
        <v>866</v>
      </c>
    </row>
    <row r="5049">
      <c r="B5049" s="10" t="s">
        <v>866</v>
      </c>
    </row>
    <row r="5050">
      <c r="B5050" s="10" t="s">
        <v>866</v>
      </c>
    </row>
    <row r="5051">
      <c r="B5051" s="10" t="s">
        <v>866</v>
      </c>
    </row>
    <row r="5052">
      <c r="B5052" s="10" t="s">
        <v>866</v>
      </c>
    </row>
    <row r="5053">
      <c r="B5053" s="10" t="s">
        <v>866</v>
      </c>
    </row>
    <row r="5054">
      <c r="B5054" s="10" t="s">
        <v>866</v>
      </c>
    </row>
    <row r="5055">
      <c r="B5055" s="10" t="s">
        <v>866</v>
      </c>
    </row>
    <row r="5056">
      <c r="B5056" s="10" t="s">
        <v>866</v>
      </c>
    </row>
    <row r="5057">
      <c r="B5057" s="10" t="s">
        <v>866</v>
      </c>
    </row>
    <row r="5058">
      <c r="B5058" s="10" t="s">
        <v>866</v>
      </c>
    </row>
    <row r="5059">
      <c r="B5059" s="10" t="s">
        <v>866</v>
      </c>
    </row>
    <row r="5060">
      <c r="B5060" s="10" t="s">
        <v>866</v>
      </c>
    </row>
    <row r="5061">
      <c r="B5061" s="10" t="s">
        <v>866</v>
      </c>
    </row>
    <row r="5062">
      <c r="B5062" s="10" t="s">
        <v>866</v>
      </c>
    </row>
    <row r="5063">
      <c r="B5063" s="10" t="s">
        <v>866</v>
      </c>
    </row>
    <row r="5064">
      <c r="B5064" s="10" t="s">
        <v>866</v>
      </c>
    </row>
    <row r="5065">
      <c r="B5065" s="10" t="s">
        <v>866</v>
      </c>
    </row>
    <row r="5066">
      <c r="B5066" s="10" t="s">
        <v>866</v>
      </c>
    </row>
    <row r="5067">
      <c r="B5067" s="10" t="s">
        <v>866</v>
      </c>
    </row>
    <row r="5068">
      <c r="B5068" s="10" t="s">
        <v>866</v>
      </c>
    </row>
    <row r="5069">
      <c r="B5069" s="10" t="s">
        <v>866</v>
      </c>
    </row>
    <row r="5070">
      <c r="B5070" s="10" t="s">
        <v>866</v>
      </c>
    </row>
    <row r="5071">
      <c r="B5071" s="10" t="s">
        <v>866</v>
      </c>
    </row>
    <row r="5072">
      <c r="B5072" s="10" t="s">
        <v>866</v>
      </c>
    </row>
    <row r="5073">
      <c r="B5073" s="10" t="s">
        <v>866</v>
      </c>
    </row>
    <row r="5074">
      <c r="B5074" s="10" t="s">
        <v>866</v>
      </c>
    </row>
    <row r="5075">
      <c r="B5075" s="10" t="s">
        <v>866</v>
      </c>
    </row>
    <row r="5076">
      <c r="B5076" s="10" t="s">
        <v>866</v>
      </c>
    </row>
    <row r="5077">
      <c r="B5077" s="10" t="s">
        <v>866</v>
      </c>
    </row>
    <row r="5078">
      <c r="B5078" s="10" t="s">
        <v>866</v>
      </c>
    </row>
    <row r="5079">
      <c r="B5079" s="10" t="s">
        <v>866</v>
      </c>
    </row>
    <row r="5080">
      <c r="B5080" s="10" t="s">
        <v>866</v>
      </c>
    </row>
    <row r="5081">
      <c r="B5081" s="10" t="s">
        <v>866</v>
      </c>
    </row>
    <row r="5082">
      <c r="B5082" s="10" t="s">
        <v>866</v>
      </c>
    </row>
    <row r="5083">
      <c r="B5083" s="10" t="s">
        <v>866</v>
      </c>
    </row>
    <row r="5084">
      <c r="B5084" s="10" t="s">
        <v>866</v>
      </c>
    </row>
    <row r="5085">
      <c r="B5085" s="10" t="s">
        <v>866</v>
      </c>
    </row>
    <row r="5086">
      <c r="B5086" s="10" t="s">
        <v>866</v>
      </c>
    </row>
    <row r="5087">
      <c r="B5087" s="10" t="s">
        <v>866</v>
      </c>
    </row>
    <row r="5088">
      <c r="B5088" s="10" t="s">
        <v>866</v>
      </c>
    </row>
    <row r="5089">
      <c r="B5089" s="10" t="s">
        <v>866</v>
      </c>
    </row>
    <row r="5090">
      <c r="B5090" s="10" t="s">
        <v>866</v>
      </c>
    </row>
    <row r="5091">
      <c r="B5091" s="10" t="s">
        <v>866</v>
      </c>
    </row>
    <row r="5092">
      <c r="B5092" s="10" t="s">
        <v>866</v>
      </c>
    </row>
    <row r="5093">
      <c r="B5093" s="10" t="s">
        <v>866</v>
      </c>
    </row>
    <row r="5094">
      <c r="B5094" s="10" t="s">
        <v>866</v>
      </c>
    </row>
    <row r="5095">
      <c r="B5095" s="10" t="s">
        <v>866</v>
      </c>
    </row>
    <row r="5096">
      <c r="B5096" s="10" t="s">
        <v>866</v>
      </c>
    </row>
    <row r="5097">
      <c r="B5097" s="10" t="s">
        <v>866</v>
      </c>
    </row>
    <row r="5098">
      <c r="B5098" s="10" t="s">
        <v>866</v>
      </c>
    </row>
    <row r="5099">
      <c r="B5099" s="10" t="s">
        <v>866</v>
      </c>
    </row>
    <row r="5100">
      <c r="B5100" s="10" t="s">
        <v>866</v>
      </c>
    </row>
    <row r="5101">
      <c r="B5101" s="10" t="s">
        <v>866</v>
      </c>
    </row>
    <row r="5102">
      <c r="B5102" s="10" t="s">
        <v>866</v>
      </c>
    </row>
    <row r="5103">
      <c r="B5103" s="10" t="s">
        <v>866</v>
      </c>
    </row>
    <row r="5104">
      <c r="B5104" s="10" t="s">
        <v>866</v>
      </c>
    </row>
    <row r="5105">
      <c r="B5105" s="10" t="s">
        <v>866</v>
      </c>
    </row>
    <row r="5106">
      <c r="B5106" s="10" t="s">
        <v>866</v>
      </c>
    </row>
    <row r="5107">
      <c r="B5107" s="10" t="s">
        <v>866</v>
      </c>
    </row>
    <row r="5108">
      <c r="B5108" s="10" t="s">
        <v>866</v>
      </c>
    </row>
    <row r="5109">
      <c r="B5109" s="10" t="s">
        <v>866</v>
      </c>
    </row>
    <row r="5110">
      <c r="B5110" s="10" t="s">
        <v>866</v>
      </c>
    </row>
    <row r="5111">
      <c r="B5111" s="10" t="s">
        <v>866</v>
      </c>
    </row>
    <row r="5112">
      <c r="B5112" s="10" t="s">
        <v>866</v>
      </c>
    </row>
    <row r="5113">
      <c r="B5113" s="10" t="s">
        <v>866</v>
      </c>
    </row>
    <row r="5114">
      <c r="B5114" s="10" t="s">
        <v>866</v>
      </c>
    </row>
    <row r="5115">
      <c r="B5115" s="10" t="s">
        <v>866</v>
      </c>
    </row>
    <row r="5116">
      <c r="B5116" s="10" t="s">
        <v>866</v>
      </c>
    </row>
    <row r="5117">
      <c r="B5117" s="10" t="s">
        <v>866</v>
      </c>
    </row>
    <row r="5118">
      <c r="B5118" s="10" t="s">
        <v>866</v>
      </c>
    </row>
    <row r="5119">
      <c r="B5119" s="10" t="s">
        <v>866</v>
      </c>
    </row>
    <row r="5120">
      <c r="B5120" s="10" t="s">
        <v>866</v>
      </c>
    </row>
    <row r="5121">
      <c r="B5121" s="10" t="s">
        <v>866</v>
      </c>
    </row>
    <row r="5122">
      <c r="B5122" s="10" t="s">
        <v>866</v>
      </c>
    </row>
    <row r="5123">
      <c r="B5123" s="10" t="s">
        <v>866</v>
      </c>
    </row>
    <row r="5124">
      <c r="B5124" s="10" t="s">
        <v>866</v>
      </c>
    </row>
    <row r="5125">
      <c r="B5125" s="10" t="s">
        <v>866</v>
      </c>
    </row>
    <row r="5126">
      <c r="B5126" s="10" t="s">
        <v>866</v>
      </c>
    </row>
    <row r="5127">
      <c r="B5127" s="10" t="s">
        <v>866</v>
      </c>
    </row>
    <row r="5128">
      <c r="B5128" s="10" t="s">
        <v>866</v>
      </c>
    </row>
    <row r="5129">
      <c r="B5129" s="10" t="s">
        <v>866</v>
      </c>
    </row>
    <row r="5130">
      <c r="B5130" s="10" t="s">
        <v>866</v>
      </c>
    </row>
    <row r="5131">
      <c r="B5131" s="10" t="s">
        <v>866</v>
      </c>
    </row>
    <row r="5132">
      <c r="B5132" s="10" t="s">
        <v>866</v>
      </c>
    </row>
    <row r="5133">
      <c r="B5133" s="10" t="s">
        <v>866</v>
      </c>
    </row>
    <row r="5134">
      <c r="B5134" s="10" t="s">
        <v>866</v>
      </c>
    </row>
    <row r="5135">
      <c r="B5135" s="10" t="s">
        <v>866</v>
      </c>
    </row>
    <row r="5136">
      <c r="B5136" s="10" t="s">
        <v>866</v>
      </c>
    </row>
    <row r="5137">
      <c r="B5137" s="10" t="s">
        <v>866</v>
      </c>
    </row>
    <row r="5138">
      <c r="B5138" s="10" t="s">
        <v>866</v>
      </c>
    </row>
    <row r="5139">
      <c r="B5139" s="10" t="s">
        <v>866</v>
      </c>
    </row>
    <row r="5140">
      <c r="B5140" s="10" t="s">
        <v>866</v>
      </c>
    </row>
    <row r="5141">
      <c r="B5141" s="10" t="s">
        <v>866</v>
      </c>
    </row>
    <row r="5142">
      <c r="B5142" s="10" t="s">
        <v>866</v>
      </c>
    </row>
    <row r="5143">
      <c r="B5143" s="10" t="s">
        <v>866</v>
      </c>
    </row>
    <row r="5144">
      <c r="B5144" s="10" t="s">
        <v>866</v>
      </c>
    </row>
    <row r="5145">
      <c r="B5145" s="10" t="s">
        <v>866</v>
      </c>
    </row>
    <row r="5146">
      <c r="B5146" s="10" t="s">
        <v>866</v>
      </c>
    </row>
    <row r="5147">
      <c r="B5147" s="10" t="s">
        <v>866</v>
      </c>
    </row>
    <row r="5148">
      <c r="B5148" s="10" t="s">
        <v>866</v>
      </c>
    </row>
    <row r="5149">
      <c r="B5149" s="10" t="s">
        <v>866</v>
      </c>
    </row>
    <row r="5150">
      <c r="B5150" s="10" t="s">
        <v>866</v>
      </c>
    </row>
    <row r="5151">
      <c r="B5151" s="10" t="s">
        <v>866</v>
      </c>
    </row>
    <row r="5152">
      <c r="B5152" s="10" t="s">
        <v>866</v>
      </c>
    </row>
    <row r="5153">
      <c r="B5153" s="10" t="s">
        <v>866</v>
      </c>
    </row>
    <row r="5154">
      <c r="B5154" s="10" t="s">
        <v>866</v>
      </c>
    </row>
    <row r="5155">
      <c r="B5155" s="10" t="s">
        <v>866</v>
      </c>
    </row>
    <row r="5156">
      <c r="B5156" s="10" t="s">
        <v>866</v>
      </c>
    </row>
    <row r="5157">
      <c r="B5157" s="10" t="s">
        <v>866</v>
      </c>
    </row>
    <row r="5158">
      <c r="B5158" s="10" t="s">
        <v>866</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2026-10-17T00:10:08Z</dcterms:created>
  <dc:creator>openpyxl</dc:creator>
</cp:coreProperties>
</file>