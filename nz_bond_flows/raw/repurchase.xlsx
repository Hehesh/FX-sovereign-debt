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I:\Tender_DMO\1) Website Data\"/>
    </mc:Choice>
  </mc:AlternateContent>
  <xr:revisionPtr revIDLastSave="0" documentId="8_{B7EAEF5B-D880-4BF6-A10E-8443C2565E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nder" sheetId="2" r:id="rId1"/>
    <sheet name="LSAP Repurchase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" i="5" l="1"/>
  <c r="D56" i="5"/>
  <c r="D57" i="5"/>
  <c r="D58" i="5"/>
  <c r="D59" i="5"/>
  <c r="D61" i="5"/>
  <c r="D63" i="5"/>
  <c r="D64" i="5"/>
  <c r="D65" i="5"/>
  <c r="D66" i="5"/>
  <c r="D67" i="5"/>
</calcChain>
</file>

<file path=xl/sharedStrings.xml><?xml version="1.0" encoding="utf-8"?>
<sst xmlns="http://schemas.openxmlformats.org/spreadsheetml/2006/main" count="158" uniqueCount="30">
  <si>
    <t>NZ GOVERNMENT BOND REPURCHASES</t>
  </si>
  <si>
    <t>Tender Results History Data</t>
  </si>
  <si>
    <t>Published: 5 September 2018</t>
  </si>
  <si>
    <t>Tender Date</t>
  </si>
  <si>
    <t>Type</t>
  </si>
  <si>
    <t>Tender No</t>
  </si>
  <si>
    <t>Volume Offered ($m)</t>
  </si>
  <si>
    <t>Volume accepted ($m)</t>
  </si>
  <si>
    <t>Over/Under Allocation ($M)</t>
  </si>
  <si>
    <t>Wtd. Avg. Unsuccessful Yield%</t>
  </si>
  <si>
    <t>Volume Bid ($m)</t>
  </si>
  <si>
    <t>Highest Accepted Yield (%)</t>
  </si>
  <si>
    <t>Lowest Accepted Yield (%)</t>
  </si>
  <si>
    <t>Wtd. Avg. Successul Yield %</t>
  </si>
  <si>
    <t>Maturity Date</t>
  </si>
  <si>
    <t>Total Number of Offers</t>
  </si>
  <si>
    <t>Number of Successful Offers</t>
  </si>
  <si>
    <t>Published by New Zealand Debt Management at https://debtmanagement.treasury.govt.nz/investor-resources/data</t>
  </si>
  <si>
    <t>Settlement Date</t>
  </si>
  <si>
    <t>Deal Date</t>
  </si>
  <si>
    <t>Accepted Yield %</t>
  </si>
  <si>
    <t>LSAP Repurchase History Data</t>
  </si>
  <si>
    <t>Inflation-Indexed Bonds</t>
  </si>
  <si>
    <t>Syndication</t>
  </si>
  <si>
    <t>Inflation-indexed</t>
  </si>
  <si>
    <t>Nominal</t>
  </si>
  <si>
    <t>Highest Unsucessul Offer (%)</t>
  </si>
  <si>
    <t>Lowest Unsucessul Offer (%)</t>
  </si>
  <si>
    <t>Published: 16 September 2026</t>
  </si>
  <si>
    <t>Published: 7 October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</si>
</sst>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\ mmmm\ yyyy"/>
    <numFmt numFmtId="165" formatCode="&quot;$&quot;#,##0;\-&quot;$&quot;#,##0;&quot;$&quot;0"/>
    <numFmt numFmtId="166" formatCode="0.000"/>
    <numFmt numFmtId="167" formatCode="dd\-mmm\-\ yyyy"/>
    <numFmt numFmtId="168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11"/>
      <color rgb="FFFF0000"/>
      <name val="Arial Narrow"/>
      <family val="2"/>
    </font>
    <font>
      <sz val="1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center"/>
    </xf>
    <xf numFmtId="165" fontId="1" fillId="2" borderId="1" xfId="0" applyNumberFormat="1" applyFont="1" applyFill="1" applyBorder="1" applyAlignment="1">
      <alignment horizontal="center" wrapText="1"/>
    </xf>
    <xf numFmtId="166" fontId="1" fillId="2" borderId="1" xfId="0" applyNumberFormat="1" applyFont="1" applyFill="1" applyBorder="1" applyAlignment="1">
      <alignment horizontal="center" wrapText="1"/>
    </xf>
    <xf numFmtId="0" fontId="4" fillId="0" borderId="0" xfId="0" applyFont="1"/>
    <xf numFmtId="164" fontId="5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167" fontId="1" fillId="0" borderId="0" xfId="0" applyNumberFormat="1" applyFont="1" applyAlignment="1">
      <alignment horizontal="left"/>
    </xf>
    <xf numFmtId="167" fontId="5" fillId="0" borderId="0" xfId="0" applyNumberFormat="1" applyFont="1" applyAlignment="1">
      <alignment horizontal="left"/>
    </xf>
    <xf numFmtId="168" fontId="5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1"/>
  <sheetViews>
    <sheetView tabSelected="1" zoomScaleNormal="100" workbookViewId="0"/>
  </sheetViews>
  <sheetFormatPr defaultColWidth="9.140625" defaultRowHeight="16.5" x14ac:dyDescent="0.3"/>
  <cols>
    <col min="1" max="1" width="18" style="2" bestFit="1" customWidth="1"/>
    <col min="2" max="2" width="17.28515625" style="2" bestFit="1" customWidth="1"/>
    <col min="3" max="3" width="9.85546875" style="2" customWidth="1"/>
    <col min="4" max="4" width="9.140625" style="12" customWidth="1"/>
    <col min="5" max="7" width="9.5703125" style="13" bestFit="1" customWidth="1"/>
    <col min="8" max="8" width="11.5703125" style="13" bestFit="1" customWidth="1"/>
    <col min="9" max="9" width="10.5703125" style="1" customWidth="1"/>
    <col min="10" max="10" width="9.85546875" style="1" customWidth="1"/>
    <col min="11" max="11" width="13.140625" style="1" bestFit="1" customWidth="1"/>
    <col min="12" max="12" width="11.7109375" style="1" bestFit="1" customWidth="1"/>
    <col min="13" max="13" width="9.140625" style="1"/>
    <col min="14" max="14" width="11" style="1" customWidth="1"/>
    <col min="15" max="15" width="11.140625" style="1" customWidth="1"/>
    <col min="16" max="16" width="12.42578125" style="14" bestFit="1" customWidth="1"/>
    <col min="17" max="16384" width="9.140625" style="1"/>
  </cols>
  <sheetData>
    <row r="1" spans="1:16" s="8" customFormat="1" x14ac:dyDescent="0.3">
      <c r="A1" s="3" t="s">
        <v>0</v>
      </c>
      <c r="B1" s="2"/>
      <c r="C1" s="5"/>
      <c r="D1" s="6"/>
      <c r="E1" s="6"/>
      <c r="F1" s="6"/>
      <c r="G1" s="6"/>
      <c r="H1" s="7"/>
      <c r="L1" s="7"/>
    </row>
    <row r="2" spans="1:16" s="8" customFormat="1" x14ac:dyDescent="0.3">
      <c r="A2" s="3" t="s">
        <v>1</v>
      </c>
      <c r="B2" s="2"/>
      <c r="C2" s="5"/>
      <c r="D2" s="6"/>
      <c r="E2" s="6"/>
      <c r="F2" s="6"/>
      <c r="G2" s="6"/>
      <c r="H2" s="7"/>
      <c r="L2" s="7"/>
    </row>
    <row r="3" spans="1:16" s="8" customFormat="1" x14ac:dyDescent="0.3">
      <c r="A3" s="4" t="s">
        <v>29</v>
      </c>
      <c r="B3" s="2"/>
      <c r="C3" s="5"/>
      <c r="D3" s="6"/>
      <c r="E3" s="6"/>
      <c r="F3" s="6"/>
      <c r="G3" s="6"/>
      <c r="H3" s="7"/>
      <c r="L3" s="7"/>
    </row>
    <row r="4" spans="1:16" s="8" customFormat="1" x14ac:dyDescent="0.3">
      <c r="A4" s="4" t="s">
        <v>17</v>
      </c>
      <c r="B4" s="2"/>
      <c r="C4" s="2"/>
      <c r="D4" s="5"/>
      <c r="E4" s="6"/>
      <c r="F4" s="6"/>
      <c r="G4" s="6"/>
      <c r="H4" s="6"/>
      <c r="P4" s="7"/>
    </row>
    <row r="5" spans="1:16" s="11" customFormat="1" ht="49.5" x14ac:dyDescent="0.3">
      <c r="A5" s="9" t="s">
        <v>3</v>
      </c>
      <c r="B5" s="9" t="s">
        <v>14</v>
      </c>
      <c r="C5" s="16" t="s">
        <v>4</v>
      </c>
      <c r="D5" s="10" t="s">
        <v>5</v>
      </c>
      <c r="E5" s="16" t="s">
        <v>10</v>
      </c>
      <c r="F5" s="16" t="s">
        <v>6</v>
      </c>
      <c r="G5" s="16" t="s">
        <v>7</v>
      </c>
      <c r="H5" s="16" t="s">
        <v>8</v>
      </c>
      <c r="I5" s="16" t="s">
        <v>15</v>
      </c>
      <c r="J5" s="16" t="s">
        <v>16</v>
      </c>
      <c r="K5" s="16" t="s">
        <v>11</v>
      </c>
      <c r="L5" s="16" t="s">
        <v>12</v>
      </c>
      <c r="M5" s="17" t="s">
        <v>13</v>
      </c>
      <c r="N5" s="16" t="s">
        <v>26</v>
      </c>
      <c r="O5" s="16" t="s">
        <v>27</v>
      </c>
      <c r="P5" s="17" t="s">
        <v>9</v>
      </c>
    </row>
    <row r="6" spans="1:16" s="11" customFormat="1" x14ac:dyDescent="0.3">
      <c r="A6" s="25">
        <v>46302</v>
      </c>
      <c r="B6" s="25">
        <v>46492</v>
      </c>
      <c r="C6" s="2" t="s">
        <v>25</v>
      </c>
      <c r="D6" s="12">
        <v>8075</v>
      </c>
      <c r="E6" s="13">
        <v>250</v>
      </c>
      <c r="F6" s="13">
        <v>100</v>
      </c>
      <c r="G6" s="13">
        <v>100</v>
      </c>
      <c r="H6" s="13">
        <v>-150</v>
      </c>
      <c r="I6" s="11">
        <v>2</v>
      </c>
      <c r="J6" s="11">
        <v>2</v>
      </c>
      <c r="K6" s="15">
        <v>3.2025000000000001</v>
      </c>
      <c r="L6" s="15">
        <v>3.2</v>
      </c>
      <c r="M6" s="14">
        <v>3.2012</v>
      </c>
      <c r="N6" s="15"/>
      <c r="O6" s="15"/>
      <c r="P6" s="15"/>
    </row>
    <row r="7" spans="1:16" s="11" customFormat="1" x14ac:dyDescent="0.3">
      <c r="A7" s="25">
        <v>46288</v>
      </c>
      <c r="B7" s="25">
        <v>46492</v>
      </c>
      <c r="C7" s="2" t="s">
        <v>25</v>
      </c>
      <c r="D7" s="12">
        <v>8074</v>
      </c>
      <c r="E7" s="13">
        <v>250</v>
      </c>
      <c r="F7" s="13">
        <v>60</v>
      </c>
      <c r="G7" s="13">
        <v>60</v>
      </c>
      <c r="H7" s="13">
        <v>-190</v>
      </c>
      <c r="I7" s="11">
        <v>2</v>
      </c>
      <c r="J7" s="11">
        <v>2</v>
      </c>
      <c r="K7" s="15">
        <v>3.2</v>
      </c>
      <c r="L7" s="15">
        <v>3.2</v>
      </c>
      <c r="M7" s="14">
        <v>3.2</v>
      </c>
      <c r="N7" s="15"/>
      <c r="O7" s="15"/>
      <c r="P7" s="15"/>
    </row>
    <row r="8" spans="1:16" s="11" customFormat="1" x14ac:dyDescent="0.3">
      <c r="A8" s="25">
        <v>46274</v>
      </c>
      <c r="B8" s="25">
        <v>46492</v>
      </c>
      <c r="C8" s="2" t="s">
        <v>25</v>
      </c>
      <c r="D8" s="12">
        <v>8073</v>
      </c>
      <c r="E8" s="13">
        <v>250</v>
      </c>
      <c r="F8" s="13">
        <v>206</v>
      </c>
      <c r="G8" s="13">
        <v>157</v>
      </c>
      <c r="H8" s="13">
        <v>-93</v>
      </c>
      <c r="I8" s="11">
        <v>24</v>
      </c>
      <c r="J8" s="11">
        <v>4</v>
      </c>
      <c r="K8" s="15">
        <v>3.0950000000000002</v>
      </c>
      <c r="L8" s="15">
        <v>3.09</v>
      </c>
      <c r="M8" s="14">
        <v>3.0931999999999999</v>
      </c>
      <c r="N8" s="15">
        <v>3.0874999999999999</v>
      </c>
      <c r="O8" s="15">
        <v>3.04</v>
      </c>
      <c r="P8" s="15">
        <v>3.0548000000000002</v>
      </c>
    </row>
    <row r="9" spans="1:16" s="11" customFormat="1" x14ac:dyDescent="0.3">
      <c r="A9" s="25">
        <v>46260</v>
      </c>
      <c r="B9" s="25">
        <v>46492</v>
      </c>
      <c r="C9" s="2" t="s">
        <v>25</v>
      </c>
      <c r="D9" s="12">
        <v>8072</v>
      </c>
      <c r="E9" s="13">
        <v>250</v>
      </c>
      <c r="F9" s="13">
        <v>349</v>
      </c>
      <c r="G9" s="13">
        <v>100</v>
      </c>
      <c r="H9" s="13">
        <v>-150</v>
      </c>
      <c r="I9" s="11">
        <v>4</v>
      </c>
      <c r="J9" s="11">
        <v>1</v>
      </c>
      <c r="K9" s="15">
        <v>3.07</v>
      </c>
      <c r="L9" s="15">
        <v>3.07</v>
      </c>
      <c r="M9" s="14">
        <v>3.07</v>
      </c>
      <c r="N9" s="15">
        <v>3.0649999999999999</v>
      </c>
      <c r="O9" s="15">
        <v>3.0550000000000002</v>
      </c>
      <c r="P9" s="15">
        <v>3.0619999999999998</v>
      </c>
    </row>
    <row r="10" spans="1:16" s="11" customFormat="1" x14ac:dyDescent="0.3">
      <c r="A10" s="25">
        <v>46246</v>
      </c>
      <c r="B10" s="25">
        <v>46492</v>
      </c>
      <c r="C10" s="2" t="s">
        <v>25</v>
      </c>
      <c r="D10" s="12">
        <v>8071</v>
      </c>
      <c r="E10" s="13">
        <v>250</v>
      </c>
      <c r="F10" s="13">
        <v>208</v>
      </c>
      <c r="G10" s="13">
        <v>88</v>
      </c>
      <c r="H10" s="13">
        <v>-162</v>
      </c>
      <c r="I10" s="11">
        <v>7</v>
      </c>
      <c r="J10" s="11">
        <v>1</v>
      </c>
      <c r="K10" s="15">
        <v>3.08</v>
      </c>
      <c r="L10" s="15">
        <v>3.08</v>
      </c>
      <c r="M10" s="14">
        <v>3.08</v>
      </c>
      <c r="N10" s="15">
        <v>3.07</v>
      </c>
      <c r="O10" s="15">
        <v>3.04</v>
      </c>
      <c r="P10" s="15">
        <v>3.0602</v>
      </c>
    </row>
    <row r="11" spans="1:16" s="11" customFormat="1" x14ac:dyDescent="0.3">
      <c r="A11" s="25">
        <v>46232</v>
      </c>
      <c r="B11" s="25">
        <v>46492</v>
      </c>
      <c r="C11" s="2" t="s">
        <v>25</v>
      </c>
      <c r="D11" s="12">
        <v>8070</v>
      </c>
      <c r="E11" s="13">
        <v>250</v>
      </c>
      <c r="F11" s="13">
        <v>365</v>
      </c>
      <c r="G11" s="13">
        <v>250</v>
      </c>
      <c r="H11" s="13">
        <v>0</v>
      </c>
      <c r="I11" s="11">
        <v>18</v>
      </c>
      <c r="J11" s="11">
        <v>4</v>
      </c>
      <c r="K11" s="15">
        <v>3.105</v>
      </c>
      <c r="L11" s="15">
        <v>3.09</v>
      </c>
      <c r="M11" s="14">
        <v>3.0973999999999999</v>
      </c>
      <c r="N11" s="15">
        <v>3.09</v>
      </c>
      <c r="O11" s="15">
        <v>2.99</v>
      </c>
      <c r="P11" s="15">
        <v>3.0234999999999999</v>
      </c>
    </row>
    <row r="12" spans="1:16" s="11" customFormat="1" x14ac:dyDescent="0.3">
      <c r="A12" s="25">
        <v>46218</v>
      </c>
      <c r="B12" s="25">
        <v>46492</v>
      </c>
      <c r="C12" s="2" t="s">
        <v>25</v>
      </c>
      <c r="D12" s="12">
        <v>8069</v>
      </c>
      <c r="E12" s="13">
        <v>250</v>
      </c>
      <c r="F12" s="13">
        <v>500</v>
      </c>
      <c r="G12" s="13">
        <v>250</v>
      </c>
      <c r="H12" s="13">
        <v>0</v>
      </c>
      <c r="I12" s="11">
        <v>6</v>
      </c>
      <c r="J12" s="11">
        <v>1</v>
      </c>
      <c r="K12" s="15">
        <v>3.0975000000000001</v>
      </c>
      <c r="L12" s="15">
        <v>3.0975000000000001</v>
      </c>
      <c r="M12" s="14">
        <v>3.0975000000000001</v>
      </c>
      <c r="N12" s="15">
        <v>3.0750000000000002</v>
      </c>
      <c r="O12" s="15">
        <v>3.0550000000000002</v>
      </c>
      <c r="P12" s="15">
        <v>3.0649999999999999</v>
      </c>
    </row>
    <row r="13" spans="1:16" s="11" customFormat="1" x14ac:dyDescent="0.3">
      <c r="A13" s="25">
        <v>46204</v>
      </c>
      <c r="B13" s="25">
        <v>46492</v>
      </c>
      <c r="C13" s="2" t="s">
        <v>25</v>
      </c>
      <c r="D13" s="12">
        <v>8068</v>
      </c>
      <c r="E13" s="13">
        <v>250</v>
      </c>
      <c r="F13" s="13">
        <v>920</v>
      </c>
      <c r="G13" s="13">
        <v>250</v>
      </c>
      <c r="H13" s="13">
        <v>0</v>
      </c>
      <c r="I13" s="11">
        <v>21</v>
      </c>
      <c r="J13" s="11">
        <v>4</v>
      </c>
      <c r="K13" s="15">
        <v>2.8849999999999998</v>
      </c>
      <c r="L13" s="15">
        <v>2.875</v>
      </c>
      <c r="M13" s="14">
        <v>2.8820000000000001</v>
      </c>
      <c r="N13" s="15">
        <v>2.8725000000000001</v>
      </c>
      <c r="O13" s="15">
        <v>2.81</v>
      </c>
      <c r="P13" s="15">
        <v>2.8628999999999998</v>
      </c>
    </row>
    <row r="14" spans="1:16" s="11" customFormat="1" x14ac:dyDescent="0.3">
      <c r="A14" s="25">
        <v>46190</v>
      </c>
      <c r="B14" s="25">
        <v>46492</v>
      </c>
      <c r="C14" s="2" t="s">
        <v>25</v>
      </c>
      <c r="D14" s="12">
        <v>8067</v>
      </c>
      <c r="E14" s="13">
        <v>250</v>
      </c>
      <c r="F14" s="13">
        <v>195</v>
      </c>
      <c r="G14" s="13">
        <v>195</v>
      </c>
      <c r="H14" s="13">
        <v>-55</v>
      </c>
      <c r="I14" s="11">
        <v>6</v>
      </c>
      <c r="J14" s="11">
        <v>6</v>
      </c>
      <c r="K14" s="15">
        <v>2.8624999999999998</v>
      </c>
      <c r="L14" s="15">
        <v>2.8450000000000002</v>
      </c>
      <c r="M14" s="14">
        <v>2.8536999999999999</v>
      </c>
      <c r="N14" s="15"/>
      <c r="O14" s="15"/>
      <c r="P14" s="15"/>
    </row>
    <row r="15" spans="1:16" s="11" customFormat="1" x14ac:dyDescent="0.3">
      <c r="A15" s="25">
        <v>46176</v>
      </c>
      <c r="B15" s="25">
        <v>46492</v>
      </c>
      <c r="C15" s="2" t="s">
        <v>25</v>
      </c>
      <c r="D15" s="12">
        <v>8066</v>
      </c>
      <c r="E15" s="13">
        <v>250</v>
      </c>
      <c r="F15" s="13">
        <v>190</v>
      </c>
      <c r="G15" s="13">
        <v>0</v>
      </c>
      <c r="H15" s="13">
        <v>-250</v>
      </c>
      <c r="I15" s="11">
        <v>2</v>
      </c>
      <c r="J15" s="11">
        <v>0</v>
      </c>
      <c r="K15" s="15">
        <v>0</v>
      </c>
      <c r="L15" s="15">
        <v>0</v>
      </c>
      <c r="M15" s="14">
        <v>0</v>
      </c>
      <c r="N15" s="15">
        <v>2.94</v>
      </c>
      <c r="O15" s="15">
        <v>2.9249999999999998</v>
      </c>
      <c r="P15" s="15">
        <v>2.9281999999999999</v>
      </c>
    </row>
    <row r="16" spans="1:16" s="11" customFormat="1" x14ac:dyDescent="0.3">
      <c r="A16" s="25">
        <v>46162</v>
      </c>
      <c r="B16" s="25">
        <v>46492</v>
      </c>
      <c r="C16" s="2" t="s">
        <v>25</v>
      </c>
      <c r="D16" s="12">
        <v>8065</v>
      </c>
      <c r="E16" s="13">
        <v>250</v>
      </c>
      <c r="F16" s="13">
        <v>280</v>
      </c>
      <c r="G16" s="13">
        <v>250</v>
      </c>
      <c r="H16" s="13">
        <v>0</v>
      </c>
      <c r="I16" s="11">
        <v>5</v>
      </c>
      <c r="J16" s="11">
        <v>5</v>
      </c>
      <c r="K16" s="15">
        <v>3.01</v>
      </c>
      <c r="L16" s="15">
        <v>2.99</v>
      </c>
      <c r="M16" s="14">
        <v>2.9940000000000002</v>
      </c>
      <c r="N16" s="15">
        <v>2.99</v>
      </c>
      <c r="O16" s="15">
        <v>2.99</v>
      </c>
      <c r="P16" s="15">
        <v>2.99</v>
      </c>
    </row>
    <row r="17" spans="1:16" s="11" customFormat="1" x14ac:dyDescent="0.3">
      <c r="A17" s="25">
        <v>46148</v>
      </c>
      <c r="B17" s="25">
        <v>46492</v>
      </c>
      <c r="C17" s="2" t="s">
        <v>25</v>
      </c>
      <c r="D17" s="12">
        <v>8064</v>
      </c>
      <c r="E17" s="13">
        <v>250</v>
      </c>
      <c r="F17" s="13">
        <v>630</v>
      </c>
      <c r="G17" s="13">
        <v>250</v>
      </c>
      <c r="H17" s="13">
        <v>0</v>
      </c>
      <c r="I17" s="11">
        <v>14</v>
      </c>
      <c r="J17" s="11">
        <v>6</v>
      </c>
      <c r="K17" s="15">
        <v>3.0649999999999999</v>
      </c>
      <c r="L17" s="15">
        <v>3.05</v>
      </c>
      <c r="M17" s="14">
        <v>3.0590999999999999</v>
      </c>
      <c r="N17" s="15">
        <v>3.05</v>
      </c>
      <c r="O17" s="15">
        <v>3</v>
      </c>
      <c r="P17" s="15">
        <v>3.0326</v>
      </c>
    </row>
    <row r="18" spans="1:16" s="11" customFormat="1" x14ac:dyDescent="0.3">
      <c r="A18" s="25">
        <v>45980</v>
      </c>
      <c r="B18" s="25">
        <v>46157</v>
      </c>
      <c r="C18" s="2" t="s">
        <v>25</v>
      </c>
      <c r="D18" s="12">
        <v>8063</v>
      </c>
      <c r="E18" s="13">
        <v>250</v>
      </c>
      <c r="F18" s="13">
        <v>555</v>
      </c>
      <c r="G18" s="13">
        <v>250</v>
      </c>
      <c r="H18" s="13">
        <v>0</v>
      </c>
      <c r="I18" s="11">
        <v>8</v>
      </c>
      <c r="J18" s="11">
        <v>1</v>
      </c>
      <c r="K18" s="15">
        <v>2.4449999999999998</v>
      </c>
      <c r="L18" s="15">
        <v>2.4449999999999998</v>
      </c>
      <c r="M18" s="14">
        <v>2.4449999999999998</v>
      </c>
      <c r="N18" s="15">
        <v>2.4350000000000001</v>
      </c>
      <c r="O18" s="15">
        <v>2.3975</v>
      </c>
      <c r="P18" s="15">
        <v>2.4220999999999999</v>
      </c>
    </row>
    <row r="19" spans="1:16" s="11" customFormat="1" x14ac:dyDescent="0.3">
      <c r="A19" s="25">
        <v>45966</v>
      </c>
      <c r="B19" s="25">
        <v>46157</v>
      </c>
      <c r="C19" s="2" t="s">
        <v>25</v>
      </c>
      <c r="D19" s="12">
        <v>8062</v>
      </c>
      <c r="E19" s="13">
        <v>250</v>
      </c>
      <c r="F19" s="13">
        <v>1210</v>
      </c>
      <c r="G19" s="13">
        <v>250</v>
      </c>
      <c r="H19" s="13">
        <v>0</v>
      </c>
      <c r="I19" s="11">
        <v>13</v>
      </c>
      <c r="J19" s="11">
        <v>3</v>
      </c>
      <c r="K19" s="15">
        <v>2.4024999999999999</v>
      </c>
      <c r="L19" s="15">
        <v>2.4</v>
      </c>
      <c r="M19" s="14">
        <v>2.4005000000000001</v>
      </c>
      <c r="N19" s="15">
        <v>2.4</v>
      </c>
      <c r="O19" s="15">
        <v>2.36</v>
      </c>
      <c r="P19" s="15">
        <v>2.3845999999999998</v>
      </c>
    </row>
    <row r="20" spans="1:16" s="11" customFormat="1" x14ac:dyDescent="0.3">
      <c r="A20" s="25">
        <v>45945</v>
      </c>
      <c r="B20" s="25">
        <v>46157</v>
      </c>
      <c r="C20" s="2" t="s">
        <v>25</v>
      </c>
      <c r="D20" s="12">
        <v>8061</v>
      </c>
      <c r="E20" s="13">
        <v>250</v>
      </c>
      <c r="F20" s="13">
        <v>250</v>
      </c>
      <c r="G20" s="13">
        <v>250</v>
      </c>
      <c r="H20" s="13">
        <v>0</v>
      </c>
      <c r="I20" s="11">
        <v>1</v>
      </c>
      <c r="J20" s="11">
        <v>1</v>
      </c>
      <c r="K20" s="15">
        <v>2.4550000000000001</v>
      </c>
      <c r="L20" s="15">
        <v>2.4550000000000001</v>
      </c>
      <c r="M20" s="14">
        <v>2.4550000000000001</v>
      </c>
      <c r="N20" s="15"/>
      <c r="O20" s="15"/>
      <c r="P20" s="15"/>
    </row>
    <row r="21" spans="1:16" s="11" customFormat="1" x14ac:dyDescent="0.3">
      <c r="A21" s="25">
        <v>45931</v>
      </c>
      <c r="B21" s="25">
        <v>46157</v>
      </c>
      <c r="C21" s="2" t="s">
        <v>25</v>
      </c>
      <c r="D21" s="12">
        <v>8060</v>
      </c>
      <c r="E21" s="13">
        <v>250</v>
      </c>
      <c r="F21" s="13">
        <v>250</v>
      </c>
      <c r="G21" s="13">
        <v>175</v>
      </c>
      <c r="H21" s="13">
        <v>0</v>
      </c>
      <c r="I21" s="11">
        <v>9</v>
      </c>
      <c r="J21" s="11">
        <v>6</v>
      </c>
      <c r="K21" s="15">
        <v>2.6</v>
      </c>
      <c r="L21" s="15">
        <v>2.59</v>
      </c>
      <c r="M21" s="14">
        <v>2.5956999999999999</v>
      </c>
      <c r="N21" s="15">
        <v>2.585</v>
      </c>
      <c r="O21" s="15">
        <v>2.5750000000000002</v>
      </c>
      <c r="P21" s="15">
        <v>2.58</v>
      </c>
    </row>
    <row r="22" spans="1:16" s="11" customFormat="1" x14ac:dyDescent="0.3">
      <c r="A22" s="25">
        <v>45917</v>
      </c>
      <c r="B22" s="25">
        <v>46157</v>
      </c>
      <c r="C22" s="2" t="s">
        <v>25</v>
      </c>
      <c r="D22" s="12">
        <v>8059</v>
      </c>
      <c r="E22" s="13">
        <v>250</v>
      </c>
      <c r="F22" s="13">
        <v>20</v>
      </c>
      <c r="G22" s="13">
        <v>20</v>
      </c>
      <c r="H22" s="13">
        <v>-230</v>
      </c>
      <c r="I22" s="11">
        <v>1</v>
      </c>
      <c r="J22" s="11">
        <v>1</v>
      </c>
      <c r="K22" s="15">
        <v>2.8149999999999999</v>
      </c>
      <c r="L22" s="15">
        <v>0</v>
      </c>
      <c r="M22" s="14">
        <v>2.8149999999999999</v>
      </c>
      <c r="N22" s="15">
        <v>0</v>
      </c>
      <c r="O22" s="15">
        <v>0</v>
      </c>
      <c r="P22" s="15">
        <v>0</v>
      </c>
    </row>
    <row r="23" spans="1:16" s="11" customFormat="1" x14ac:dyDescent="0.3">
      <c r="A23" s="25">
        <v>45896</v>
      </c>
      <c r="B23" s="25">
        <v>46157</v>
      </c>
      <c r="C23" s="2" t="s">
        <v>25</v>
      </c>
      <c r="D23" s="12">
        <v>8058</v>
      </c>
      <c r="E23" s="13">
        <v>250</v>
      </c>
      <c r="F23" s="13">
        <v>445</v>
      </c>
      <c r="G23" s="13">
        <v>250</v>
      </c>
      <c r="H23" s="13">
        <v>0</v>
      </c>
      <c r="I23" s="11">
        <v>8</v>
      </c>
      <c r="J23" s="11">
        <v>3</v>
      </c>
      <c r="K23" s="15">
        <v>2.875</v>
      </c>
      <c r="L23" s="15">
        <v>2.87</v>
      </c>
      <c r="M23" s="14">
        <v>2.8740999999999999</v>
      </c>
      <c r="N23" s="15">
        <v>2.87</v>
      </c>
      <c r="O23" s="15">
        <v>2.855</v>
      </c>
      <c r="P23" s="15">
        <v>2.8624000000000001</v>
      </c>
    </row>
    <row r="24" spans="1:16" s="11" customFormat="1" x14ac:dyDescent="0.3">
      <c r="A24" s="25">
        <v>45875</v>
      </c>
      <c r="B24" s="25">
        <v>46157</v>
      </c>
      <c r="C24" s="2" t="s">
        <v>25</v>
      </c>
      <c r="D24" s="12">
        <v>8057</v>
      </c>
      <c r="E24" s="13">
        <v>250</v>
      </c>
      <c r="F24" s="13">
        <v>415</v>
      </c>
      <c r="G24" s="13">
        <v>250</v>
      </c>
      <c r="H24" s="13">
        <v>0</v>
      </c>
      <c r="I24" s="11">
        <v>46</v>
      </c>
      <c r="J24" s="11">
        <v>12</v>
      </c>
      <c r="K24" s="15">
        <v>3.12</v>
      </c>
      <c r="L24" s="15">
        <v>3.1074999999999999</v>
      </c>
      <c r="M24" s="14">
        <v>3.1133999999999999</v>
      </c>
      <c r="N24" s="15">
        <v>3.1074999999999999</v>
      </c>
      <c r="O24" s="15">
        <v>3.01</v>
      </c>
      <c r="P24" s="15">
        <v>3.0891999999999999</v>
      </c>
    </row>
    <row r="25" spans="1:16" s="11" customFormat="1" x14ac:dyDescent="0.3">
      <c r="A25" s="25">
        <v>45679</v>
      </c>
      <c r="B25" s="25">
        <v>45920</v>
      </c>
      <c r="C25" s="2" t="s">
        <v>22</v>
      </c>
      <c r="D25" s="12">
        <v>8056</v>
      </c>
      <c r="E25" s="13">
        <v>200</v>
      </c>
      <c r="F25" s="13">
        <v>106</v>
      </c>
      <c r="G25" s="13">
        <v>106</v>
      </c>
      <c r="H25" s="13">
        <v>-94</v>
      </c>
      <c r="I25" s="11">
        <v>11</v>
      </c>
      <c r="J25" s="11">
        <v>11</v>
      </c>
      <c r="K25" s="15">
        <v>1.98</v>
      </c>
      <c r="L25" s="15">
        <v>1.9</v>
      </c>
      <c r="M25" s="14">
        <v>1.9457</v>
      </c>
      <c r="N25" s="15"/>
      <c r="O25" s="15"/>
      <c r="P25" s="15"/>
    </row>
    <row r="26" spans="1:16" s="11" customFormat="1" x14ac:dyDescent="0.3">
      <c r="A26" s="25">
        <v>45630</v>
      </c>
      <c r="B26" s="25">
        <v>45920</v>
      </c>
      <c r="C26" s="2" t="s">
        <v>22</v>
      </c>
      <c r="D26" s="12">
        <v>8055</v>
      </c>
      <c r="E26" s="13">
        <v>200</v>
      </c>
      <c r="F26" s="13">
        <v>373</v>
      </c>
      <c r="G26" s="13">
        <v>200</v>
      </c>
      <c r="H26" s="13">
        <v>0</v>
      </c>
      <c r="I26" s="11">
        <v>16</v>
      </c>
      <c r="J26" s="11">
        <v>7</v>
      </c>
      <c r="K26" s="15">
        <v>2.23</v>
      </c>
      <c r="L26" s="15">
        <v>2.2200000000000002</v>
      </c>
      <c r="M26" s="14">
        <v>2.222</v>
      </c>
      <c r="N26" s="15">
        <v>2.2200000000000002</v>
      </c>
      <c r="O26" s="15">
        <v>2.12</v>
      </c>
      <c r="P26" s="15">
        <v>2.2002999999999999</v>
      </c>
    </row>
    <row r="27" spans="1:16" s="11" customFormat="1" x14ac:dyDescent="0.3">
      <c r="A27" s="25">
        <v>45616</v>
      </c>
      <c r="B27" s="25">
        <v>45920</v>
      </c>
      <c r="C27" s="2" t="s">
        <v>22</v>
      </c>
      <c r="D27" s="12">
        <v>8054</v>
      </c>
      <c r="E27" s="13">
        <v>200</v>
      </c>
      <c r="F27" s="13">
        <v>576</v>
      </c>
      <c r="G27" s="13">
        <v>200</v>
      </c>
      <c r="H27" s="13">
        <v>0</v>
      </c>
      <c r="I27" s="11">
        <v>26</v>
      </c>
      <c r="J27" s="11">
        <v>8</v>
      </c>
      <c r="K27" s="15">
        <v>2.2599999999999998</v>
      </c>
      <c r="L27" s="15">
        <v>2.2400000000000002</v>
      </c>
      <c r="M27" s="14">
        <v>2.2467000000000001</v>
      </c>
      <c r="N27" s="15">
        <v>2.2400000000000002</v>
      </c>
      <c r="O27" s="15">
        <v>2.14</v>
      </c>
      <c r="P27" s="15">
        <v>2.2031999999999998</v>
      </c>
    </row>
    <row r="28" spans="1:16" s="11" customFormat="1" x14ac:dyDescent="0.3">
      <c r="A28" s="25">
        <v>45602</v>
      </c>
      <c r="B28" s="25">
        <v>45920</v>
      </c>
      <c r="C28" s="2" t="s">
        <v>22</v>
      </c>
      <c r="D28" s="12">
        <v>8053</v>
      </c>
      <c r="E28" s="13">
        <v>200</v>
      </c>
      <c r="F28" s="13">
        <v>374</v>
      </c>
      <c r="G28" s="13">
        <v>200</v>
      </c>
      <c r="H28" s="13">
        <v>0</v>
      </c>
      <c r="I28" s="11">
        <v>25</v>
      </c>
      <c r="J28" s="11">
        <v>14</v>
      </c>
      <c r="K28" s="15">
        <v>2.37</v>
      </c>
      <c r="L28" s="15">
        <v>2.31</v>
      </c>
      <c r="M28" s="14">
        <v>2.3327</v>
      </c>
      <c r="N28" s="15">
        <v>2.31</v>
      </c>
      <c r="O28" s="15">
        <v>2.16</v>
      </c>
      <c r="P28" s="15">
        <v>2.2770999999999999</v>
      </c>
    </row>
    <row r="29" spans="1:16" s="11" customFormat="1" x14ac:dyDescent="0.3">
      <c r="A29" s="25">
        <v>44797</v>
      </c>
      <c r="B29" s="25">
        <v>45920</v>
      </c>
      <c r="C29" s="2" t="s">
        <v>22</v>
      </c>
      <c r="D29" s="12" t="s">
        <v>23</v>
      </c>
      <c r="E29" s="13">
        <v>1500</v>
      </c>
      <c r="F29" s="13">
        <v>3434.9</v>
      </c>
      <c r="G29" s="13">
        <v>1500</v>
      </c>
      <c r="H29" s="13">
        <v>0</v>
      </c>
      <c r="K29" s="15"/>
      <c r="L29" s="15"/>
      <c r="M29" s="14">
        <v>0.36</v>
      </c>
      <c r="N29" s="15"/>
      <c r="O29" s="15"/>
      <c r="P29" s="15"/>
    </row>
    <row r="30" spans="1:16" s="11" customFormat="1" x14ac:dyDescent="0.3">
      <c r="A30" s="25">
        <v>43698</v>
      </c>
      <c r="B30" s="25">
        <v>43936</v>
      </c>
      <c r="C30" s="2" t="s">
        <v>25</v>
      </c>
      <c r="D30" s="12">
        <v>8052</v>
      </c>
      <c r="E30" s="13">
        <v>250</v>
      </c>
      <c r="F30" s="13">
        <v>26</v>
      </c>
      <c r="G30" s="13">
        <v>0</v>
      </c>
      <c r="H30" s="13">
        <v>-250</v>
      </c>
      <c r="I30" s="11">
        <v>6</v>
      </c>
      <c r="J30" s="11">
        <v>0</v>
      </c>
      <c r="K30" s="15">
        <v>0</v>
      </c>
      <c r="L30" s="15">
        <v>0</v>
      </c>
      <c r="M30" s="14">
        <v>0</v>
      </c>
      <c r="N30" s="15">
        <v>0.86</v>
      </c>
      <c r="O30" s="15">
        <v>0.75</v>
      </c>
      <c r="P30" s="15">
        <v>0.83650000000000002</v>
      </c>
    </row>
    <row r="31" spans="1:16" s="11" customFormat="1" x14ac:dyDescent="0.3">
      <c r="A31" s="25">
        <v>43628</v>
      </c>
      <c r="B31" s="25">
        <v>43936</v>
      </c>
      <c r="C31" s="2" t="s">
        <v>25</v>
      </c>
      <c r="D31" s="12">
        <v>8051</v>
      </c>
      <c r="E31" s="13">
        <v>250</v>
      </c>
      <c r="F31" s="13">
        <v>275</v>
      </c>
      <c r="G31" s="13">
        <v>180</v>
      </c>
      <c r="H31" s="13">
        <v>-70</v>
      </c>
      <c r="I31" s="11">
        <v>15</v>
      </c>
      <c r="J31" s="11">
        <v>6</v>
      </c>
      <c r="K31" s="15">
        <v>1.25</v>
      </c>
      <c r="L31" s="15">
        <v>1.23</v>
      </c>
      <c r="M31" s="14">
        <v>1.2314000000000001</v>
      </c>
      <c r="N31" s="15">
        <v>1.2250000000000001</v>
      </c>
      <c r="O31" s="15">
        <v>1.1850000000000001</v>
      </c>
      <c r="P31" s="15">
        <v>1.2314000000000001</v>
      </c>
    </row>
    <row r="32" spans="1:16" s="11" customFormat="1" x14ac:dyDescent="0.3">
      <c r="A32" s="25">
        <v>43614</v>
      </c>
      <c r="B32" s="25">
        <v>43936</v>
      </c>
      <c r="C32" s="2" t="s">
        <v>25</v>
      </c>
      <c r="D32" s="12">
        <v>8050</v>
      </c>
      <c r="E32" s="13">
        <v>250</v>
      </c>
      <c r="F32" s="13">
        <v>340</v>
      </c>
      <c r="G32" s="13">
        <v>250</v>
      </c>
      <c r="H32" s="13">
        <v>0</v>
      </c>
      <c r="I32" s="11">
        <v>22</v>
      </c>
      <c r="J32" s="11">
        <v>18</v>
      </c>
      <c r="K32" s="15">
        <v>1.33</v>
      </c>
      <c r="L32" s="15">
        <v>1.27</v>
      </c>
      <c r="M32" s="14">
        <v>1.2968999999999999</v>
      </c>
      <c r="N32" s="15">
        <v>1.2649999999999999</v>
      </c>
      <c r="O32" s="15">
        <v>1.25</v>
      </c>
      <c r="P32" s="15">
        <v>1.2572000000000001</v>
      </c>
    </row>
    <row r="33" spans="1:16" s="11" customFormat="1" x14ac:dyDescent="0.3">
      <c r="A33" s="25">
        <v>43600</v>
      </c>
      <c r="B33" s="25">
        <v>43936</v>
      </c>
      <c r="C33" s="2" t="s">
        <v>25</v>
      </c>
      <c r="D33" s="12">
        <v>8049</v>
      </c>
      <c r="E33" s="13">
        <v>250</v>
      </c>
      <c r="F33" s="13">
        <v>354</v>
      </c>
      <c r="G33" s="13">
        <v>250</v>
      </c>
      <c r="H33" s="13">
        <v>0</v>
      </c>
      <c r="I33" s="11">
        <v>22</v>
      </c>
      <c r="J33" s="11">
        <v>20</v>
      </c>
      <c r="K33" s="15">
        <v>1.44</v>
      </c>
      <c r="L33" s="15">
        <v>1.39</v>
      </c>
      <c r="M33" s="14">
        <v>1.42</v>
      </c>
      <c r="N33" s="15">
        <v>1.39</v>
      </c>
      <c r="O33" s="15">
        <v>1.37</v>
      </c>
      <c r="P33" s="15">
        <v>1.3833</v>
      </c>
    </row>
    <row r="34" spans="1:16" s="11" customFormat="1" x14ac:dyDescent="0.3">
      <c r="A34" s="25">
        <v>43586</v>
      </c>
      <c r="B34" s="25">
        <v>43936</v>
      </c>
      <c r="C34" s="2" t="s">
        <v>25</v>
      </c>
      <c r="D34" s="12">
        <v>8048</v>
      </c>
      <c r="E34" s="13">
        <v>250</v>
      </c>
      <c r="F34" s="13">
        <v>572</v>
      </c>
      <c r="G34" s="13">
        <v>250</v>
      </c>
      <c r="H34" s="13">
        <v>0</v>
      </c>
      <c r="I34" s="11">
        <v>29</v>
      </c>
      <c r="J34" s="11">
        <v>8</v>
      </c>
      <c r="K34" s="15">
        <v>1.47</v>
      </c>
      <c r="L34" s="15">
        <v>1.44</v>
      </c>
      <c r="M34" s="14">
        <v>1.4549000000000001</v>
      </c>
      <c r="N34" s="15">
        <v>1.44</v>
      </c>
      <c r="O34" s="15">
        <v>1.35</v>
      </c>
      <c r="P34" s="15">
        <v>1.4071</v>
      </c>
    </row>
    <row r="35" spans="1:16" s="11" customFormat="1" x14ac:dyDescent="0.3">
      <c r="A35" s="25">
        <v>43572</v>
      </c>
      <c r="B35" s="25">
        <v>43936</v>
      </c>
      <c r="C35" s="2" t="s">
        <v>25</v>
      </c>
      <c r="D35" s="12">
        <v>8047</v>
      </c>
      <c r="E35" s="13">
        <v>500</v>
      </c>
      <c r="F35" s="13">
        <v>1070</v>
      </c>
      <c r="G35" s="13">
        <v>500</v>
      </c>
      <c r="H35" s="13">
        <v>0</v>
      </c>
      <c r="I35" s="11">
        <v>26</v>
      </c>
      <c r="J35" s="11">
        <v>1</v>
      </c>
      <c r="K35" s="15">
        <v>1.5</v>
      </c>
      <c r="L35" s="15">
        <v>1.5</v>
      </c>
      <c r="M35" s="14">
        <v>1.5</v>
      </c>
      <c r="N35" s="15">
        <v>1.49</v>
      </c>
      <c r="O35" s="15">
        <v>1.37</v>
      </c>
      <c r="P35" s="15">
        <v>1.4408000000000001</v>
      </c>
    </row>
    <row r="36" spans="1:16" s="11" customFormat="1" x14ac:dyDescent="0.3">
      <c r="A36" s="25">
        <v>43558</v>
      </c>
      <c r="B36" s="25">
        <v>43936</v>
      </c>
      <c r="C36" s="2" t="s">
        <v>25</v>
      </c>
      <c r="D36" s="12">
        <v>8046</v>
      </c>
      <c r="E36" s="13">
        <v>250</v>
      </c>
      <c r="F36" s="13">
        <v>230</v>
      </c>
      <c r="G36" s="13">
        <v>230</v>
      </c>
      <c r="H36" s="13">
        <v>-20</v>
      </c>
      <c r="I36" s="11">
        <v>4</v>
      </c>
      <c r="J36" s="11">
        <v>4</v>
      </c>
      <c r="K36" s="15">
        <v>1.5</v>
      </c>
      <c r="L36" s="15">
        <v>1.4750000000000001</v>
      </c>
      <c r="M36" s="14">
        <v>1.4898</v>
      </c>
      <c r="N36" s="15">
        <v>0</v>
      </c>
      <c r="O36" s="15">
        <v>0</v>
      </c>
      <c r="P36" s="15">
        <v>0</v>
      </c>
    </row>
    <row r="37" spans="1:16" s="11" customFormat="1" x14ac:dyDescent="0.3">
      <c r="A37" s="25">
        <v>43544</v>
      </c>
      <c r="B37" s="25">
        <v>43936</v>
      </c>
      <c r="C37" s="2" t="s">
        <v>25</v>
      </c>
      <c r="D37" s="12">
        <v>8045</v>
      </c>
      <c r="E37" s="13">
        <v>250</v>
      </c>
      <c r="F37" s="13">
        <v>575</v>
      </c>
      <c r="G37" s="13">
        <v>250</v>
      </c>
      <c r="H37" s="13">
        <v>0</v>
      </c>
      <c r="I37" s="11">
        <v>20</v>
      </c>
      <c r="J37" s="11">
        <v>6</v>
      </c>
      <c r="K37" s="15">
        <v>1.68</v>
      </c>
      <c r="L37" s="15">
        <v>1.665</v>
      </c>
      <c r="M37" s="14">
        <v>1.6653</v>
      </c>
      <c r="N37" s="15">
        <v>1.665</v>
      </c>
      <c r="O37" s="15">
        <v>1.63</v>
      </c>
      <c r="P37" s="15">
        <v>1.6500999999999999</v>
      </c>
    </row>
    <row r="38" spans="1:16" s="11" customFormat="1" x14ac:dyDescent="0.3">
      <c r="A38" s="25">
        <v>43348</v>
      </c>
      <c r="B38" s="25">
        <v>43539</v>
      </c>
      <c r="C38" s="2" t="s">
        <v>25</v>
      </c>
      <c r="D38" s="12">
        <v>8044</v>
      </c>
      <c r="E38" s="13">
        <v>250</v>
      </c>
      <c r="F38" s="13">
        <v>269</v>
      </c>
      <c r="G38" s="13">
        <v>0</v>
      </c>
      <c r="H38" s="13">
        <v>-250</v>
      </c>
      <c r="I38" s="11">
        <v>2</v>
      </c>
      <c r="J38" s="11">
        <v>0</v>
      </c>
      <c r="K38" s="15">
        <v>0</v>
      </c>
      <c r="L38" s="15">
        <v>0</v>
      </c>
      <c r="M38" s="14">
        <v>0</v>
      </c>
      <c r="N38" s="15">
        <v>1.72</v>
      </c>
      <c r="O38" s="15">
        <v>1.69</v>
      </c>
      <c r="P38" s="15">
        <v>1.7179</v>
      </c>
    </row>
    <row r="39" spans="1:16" s="11" customFormat="1" x14ac:dyDescent="0.3">
      <c r="A39" s="25">
        <v>43334</v>
      </c>
      <c r="B39" s="25">
        <v>43539</v>
      </c>
      <c r="C39" s="2" t="s">
        <v>25</v>
      </c>
      <c r="D39" s="12">
        <v>8043</v>
      </c>
      <c r="E39" s="13">
        <v>250</v>
      </c>
      <c r="F39" s="13">
        <v>152</v>
      </c>
      <c r="G39" s="13">
        <v>0</v>
      </c>
      <c r="H39" s="13">
        <v>-250</v>
      </c>
      <c r="I39" s="11">
        <v>6</v>
      </c>
      <c r="J39" s="11">
        <v>0</v>
      </c>
      <c r="K39" s="15">
        <v>0</v>
      </c>
      <c r="L39" s="15">
        <v>0</v>
      </c>
      <c r="M39" s="14">
        <v>0</v>
      </c>
      <c r="N39" s="15">
        <v>1.73</v>
      </c>
      <c r="O39" s="15">
        <v>1.67</v>
      </c>
      <c r="P39" s="15">
        <v>1.6983999999999999</v>
      </c>
    </row>
    <row r="40" spans="1:16" s="11" customFormat="1" x14ac:dyDescent="0.3">
      <c r="A40" s="25">
        <v>43320</v>
      </c>
      <c r="B40" s="25">
        <v>43539</v>
      </c>
      <c r="C40" s="2" t="s">
        <v>25</v>
      </c>
      <c r="D40" s="12">
        <v>8042</v>
      </c>
      <c r="E40" s="13">
        <v>250</v>
      </c>
      <c r="F40" s="13">
        <v>90</v>
      </c>
      <c r="G40" s="13">
        <v>34</v>
      </c>
      <c r="H40" s="13">
        <v>-216</v>
      </c>
      <c r="I40" s="11">
        <v>12</v>
      </c>
      <c r="J40" s="11">
        <v>3</v>
      </c>
      <c r="K40" s="15">
        <v>1.7549999999999999</v>
      </c>
      <c r="L40" s="15">
        <v>1.75</v>
      </c>
      <c r="M40" s="14">
        <v>1.7506999999999999</v>
      </c>
      <c r="N40" s="15">
        <v>1.7450000000000001</v>
      </c>
      <c r="O40" s="15">
        <v>1.68</v>
      </c>
      <c r="P40" s="15">
        <v>1.7221</v>
      </c>
    </row>
    <row r="41" spans="1:16" s="11" customFormat="1" x14ac:dyDescent="0.3">
      <c r="A41" s="25">
        <v>43306</v>
      </c>
      <c r="B41" s="25">
        <v>43539</v>
      </c>
      <c r="C41" s="2" t="s">
        <v>25</v>
      </c>
      <c r="D41" s="12">
        <v>8041</v>
      </c>
      <c r="E41" s="13">
        <v>250</v>
      </c>
      <c r="F41" s="13">
        <v>234</v>
      </c>
      <c r="G41" s="13">
        <v>184</v>
      </c>
      <c r="H41" s="13">
        <v>-66</v>
      </c>
      <c r="I41" s="11">
        <v>13</v>
      </c>
      <c r="J41" s="11">
        <v>3</v>
      </c>
      <c r="K41" s="15">
        <v>1.7749999999999999</v>
      </c>
      <c r="L41" s="15">
        <v>1.75</v>
      </c>
      <c r="M41" s="14">
        <v>1.7506999999999999</v>
      </c>
      <c r="N41" s="15">
        <v>1.7450000000000001</v>
      </c>
      <c r="O41" s="15">
        <v>1.7</v>
      </c>
      <c r="P41" s="15">
        <v>1.7224999999999999</v>
      </c>
    </row>
    <row r="42" spans="1:16" s="11" customFormat="1" x14ac:dyDescent="0.3">
      <c r="A42" s="25">
        <v>43292</v>
      </c>
      <c r="B42" s="25">
        <v>43539</v>
      </c>
      <c r="C42" s="2" t="s">
        <v>25</v>
      </c>
      <c r="D42" s="12">
        <v>8040</v>
      </c>
      <c r="E42" s="13">
        <v>250</v>
      </c>
      <c r="F42" s="13">
        <v>360</v>
      </c>
      <c r="G42" s="13">
        <v>250</v>
      </c>
      <c r="H42" s="13">
        <v>0</v>
      </c>
      <c r="I42" s="11">
        <v>9</v>
      </c>
      <c r="J42" s="11">
        <v>8</v>
      </c>
      <c r="K42" s="15">
        <v>1.79</v>
      </c>
      <c r="L42" s="15">
        <v>1.77</v>
      </c>
      <c r="M42" s="14">
        <v>1.7784</v>
      </c>
      <c r="N42" s="15">
        <v>1.77</v>
      </c>
      <c r="O42" s="15">
        <v>1.75</v>
      </c>
      <c r="P42" s="15">
        <v>1.7518</v>
      </c>
    </row>
    <row r="43" spans="1:16" s="11" customFormat="1" x14ac:dyDescent="0.3">
      <c r="A43" s="25">
        <v>43278</v>
      </c>
      <c r="B43" s="25">
        <v>43539</v>
      </c>
      <c r="C43" s="2" t="s">
        <v>25</v>
      </c>
      <c r="D43" s="12">
        <v>8039</v>
      </c>
      <c r="E43" s="13">
        <v>250</v>
      </c>
      <c r="F43" s="13">
        <v>790</v>
      </c>
      <c r="G43" s="13">
        <v>250</v>
      </c>
      <c r="H43" s="13">
        <v>0</v>
      </c>
      <c r="I43" s="11">
        <v>11</v>
      </c>
      <c r="J43" s="11">
        <v>5</v>
      </c>
      <c r="K43" s="11">
        <v>1.7849999999999999</v>
      </c>
      <c r="L43" s="15">
        <v>1.78</v>
      </c>
      <c r="M43" s="14">
        <v>1.7829999999999999</v>
      </c>
      <c r="N43" s="15">
        <v>1.78</v>
      </c>
      <c r="O43" s="15">
        <v>1.76</v>
      </c>
      <c r="P43" s="15">
        <v>1.7706999999999999</v>
      </c>
    </row>
    <row r="44" spans="1:16" s="11" customFormat="1" x14ac:dyDescent="0.3">
      <c r="A44" s="25">
        <v>43264</v>
      </c>
      <c r="B44" s="25">
        <v>43539</v>
      </c>
      <c r="C44" s="2" t="s">
        <v>25</v>
      </c>
      <c r="D44" s="12">
        <v>8038</v>
      </c>
      <c r="E44" s="13">
        <v>250</v>
      </c>
      <c r="F44" s="13">
        <v>661</v>
      </c>
      <c r="G44" s="13">
        <v>250</v>
      </c>
      <c r="H44" s="13">
        <v>0</v>
      </c>
      <c r="I44" s="11">
        <v>13</v>
      </c>
      <c r="J44" s="11">
        <v>4</v>
      </c>
      <c r="K44" s="15">
        <v>1.78</v>
      </c>
      <c r="L44" s="15">
        <v>1.78</v>
      </c>
      <c r="M44" s="14">
        <v>1.78</v>
      </c>
      <c r="N44" s="15">
        <v>1.78</v>
      </c>
      <c r="O44" s="15">
        <v>1.76</v>
      </c>
      <c r="P44" s="15">
        <v>1.7749999999999999</v>
      </c>
    </row>
    <row r="45" spans="1:16" s="11" customFormat="1" x14ac:dyDescent="0.3">
      <c r="A45" s="25">
        <v>43250</v>
      </c>
      <c r="B45" s="25">
        <v>43539</v>
      </c>
      <c r="C45" s="2" t="s">
        <v>25</v>
      </c>
      <c r="D45" s="12">
        <v>8037</v>
      </c>
      <c r="E45" s="13">
        <v>250</v>
      </c>
      <c r="F45" s="13">
        <v>400</v>
      </c>
      <c r="G45" s="13">
        <v>250</v>
      </c>
      <c r="H45" s="13">
        <v>0</v>
      </c>
      <c r="I45" s="11">
        <v>7</v>
      </c>
      <c r="J45" s="11">
        <v>5</v>
      </c>
      <c r="K45" s="15">
        <v>1.78</v>
      </c>
      <c r="L45" s="15">
        <v>1.77</v>
      </c>
      <c r="M45" s="14">
        <v>1.7736000000000001</v>
      </c>
      <c r="N45" s="15">
        <v>1.77</v>
      </c>
      <c r="O45" s="15">
        <v>1.76</v>
      </c>
      <c r="P45" s="15">
        <v>1.7653000000000001</v>
      </c>
    </row>
    <row r="46" spans="1:16" s="11" customFormat="1" x14ac:dyDescent="0.3">
      <c r="A46" s="25">
        <v>43236</v>
      </c>
      <c r="B46" s="25">
        <v>43539</v>
      </c>
      <c r="C46" s="2" t="s">
        <v>25</v>
      </c>
      <c r="D46" s="12">
        <v>8036</v>
      </c>
      <c r="E46" s="13">
        <v>250</v>
      </c>
      <c r="F46" s="13">
        <v>567</v>
      </c>
      <c r="G46" s="13">
        <v>250</v>
      </c>
      <c r="H46" s="13">
        <v>0</v>
      </c>
      <c r="I46" s="11">
        <v>11</v>
      </c>
      <c r="J46" s="11">
        <v>4</v>
      </c>
      <c r="K46" s="15">
        <v>1.8049999999999999</v>
      </c>
      <c r="L46" s="15">
        <v>1.7949999999999999</v>
      </c>
      <c r="M46" s="14">
        <v>1.7968</v>
      </c>
      <c r="N46" s="15">
        <v>1.7949999999999999</v>
      </c>
      <c r="O46" s="15">
        <v>1.72</v>
      </c>
      <c r="P46" s="15">
        <v>1.7737000000000001</v>
      </c>
    </row>
    <row r="47" spans="1:16" s="11" customFormat="1" x14ac:dyDescent="0.3">
      <c r="A47" s="25">
        <v>43222</v>
      </c>
      <c r="B47" s="25">
        <v>43539</v>
      </c>
      <c r="C47" s="2" t="s">
        <v>25</v>
      </c>
      <c r="D47" s="12">
        <v>8035</v>
      </c>
      <c r="E47" s="13">
        <v>250</v>
      </c>
      <c r="F47" s="13">
        <v>685</v>
      </c>
      <c r="G47" s="13">
        <v>250</v>
      </c>
      <c r="H47" s="13">
        <v>0</v>
      </c>
      <c r="I47" s="11">
        <v>13</v>
      </c>
      <c r="J47" s="11">
        <v>2</v>
      </c>
      <c r="K47" s="15">
        <v>1.81</v>
      </c>
      <c r="L47" s="15">
        <v>1.81</v>
      </c>
      <c r="M47" s="14">
        <v>1.81</v>
      </c>
      <c r="N47" s="15">
        <v>1.81</v>
      </c>
      <c r="O47" s="15">
        <v>1.76</v>
      </c>
      <c r="P47" s="15">
        <v>1.7935000000000001</v>
      </c>
    </row>
    <row r="48" spans="1:16" s="11" customFormat="1" x14ac:dyDescent="0.3">
      <c r="A48" s="25">
        <v>43208</v>
      </c>
      <c r="B48" s="25">
        <v>43539</v>
      </c>
      <c r="C48" s="2" t="s">
        <v>25</v>
      </c>
      <c r="D48" s="12">
        <v>8034</v>
      </c>
      <c r="E48" s="13">
        <v>250</v>
      </c>
      <c r="F48" s="13">
        <v>948</v>
      </c>
      <c r="G48" s="13">
        <v>250</v>
      </c>
      <c r="H48" s="13">
        <v>0</v>
      </c>
      <c r="I48" s="11">
        <v>22</v>
      </c>
      <c r="J48" s="11">
        <v>1</v>
      </c>
      <c r="K48" s="15">
        <v>1.81</v>
      </c>
      <c r="L48" s="15">
        <v>1.81</v>
      </c>
      <c r="M48" s="14">
        <v>1.81</v>
      </c>
      <c r="N48" s="15">
        <v>1.8049999999999999</v>
      </c>
      <c r="O48" s="15">
        <v>1.73</v>
      </c>
      <c r="P48" s="15">
        <v>1.7829999999999999</v>
      </c>
    </row>
    <row r="49" spans="1:16" s="11" customFormat="1" x14ac:dyDescent="0.3">
      <c r="A49" s="25">
        <v>43180</v>
      </c>
      <c r="B49" s="25">
        <v>43539</v>
      </c>
      <c r="C49" s="2" t="s">
        <v>25</v>
      </c>
      <c r="D49" s="12">
        <v>8033</v>
      </c>
      <c r="E49" s="13">
        <v>250</v>
      </c>
      <c r="F49" s="13">
        <v>253</v>
      </c>
      <c r="G49" s="13">
        <v>0</v>
      </c>
      <c r="H49" s="13">
        <v>-250</v>
      </c>
      <c r="I49" s="11">
        <v>10</v>
      </c>
      <c r="J49" s="11">
        <v>0</v>
      </c>
      <c r="K49" s="15">
        <v>0</v>
      </c>
      <c r="L49" s="15">
        <v>0</v>
      </c>
      <c r="M49" s="14">
        <v>0</v>
      </c>
      <c r="N49" s="15">
        <v>1.75</v>
      </c>
      <c r="O49" s="15">
        <v>1.75</v>
      </c>
      <c r="P49" s="15">
        <v>1.726</v>
      </c>
    </row>
    <row r="50" spans="1:16" s="11" customFormat="1" x14ac:dyDescent="0.3">
      <c r="A50" s="25">
        <v>43166</v>
      </c>
      <c r="B50" s="25">
        <v>43539</v>
      </c>
      <c r="C50" s="2" t="s">
        <v>25</v>
      </c>
      <c r="D50" s="12">
        <v>8032</v>
      </c>
      <c r="E50" s="13">
        <v>250</v>
      </c>
      <c r="F50" s="13">
        <v>548</v>
      </c>
      <c r="G50" s="13">
        <v>250</v>
      </c>
      <c r="H50" s="13">
        <v>0</v>
      </c>
      <c r="I50" s="11">
        <v>24</v>
      </c>
      <c r="J50" s="11">
        <v>12</v>
      </c>
      <c r="K50" s="15">
        <v>1.7849999999999999</v>
      </c>
      <c r="L50" s="15">
        <v>1.76</v>
      </c>
      <c r="M50" s="14">
        <v>1.7750999999999999</v>
      </c>
      <c r="N50" s="15">
        <v>1.76</v>
      </c>
      <c r="O50" s="15">
        <v>1.73</v>
      </c>
      <c r="P50" s="15">
        <v>1.7475000000000001</v>
      </c>
    </row>
    <row r="51" spans="1:16" s="11" customFormat="1" x14ac:dyDescent="0.3">
      <c r="A51" s="25">
        <v>42900</v>
      </c>
      <c r="B51" s="25">
        <v>43084</v>
      </c>
      <c r="C51" s="2" t="s">
        <v>25</v>
      </c>
      <c r="D51" s="12">
        <v>8031</v>
      </c>
      <c r="E51" s="13">
        <v>250</v>
      </c>
      <c r="F51" s="13">
        <v>487</v>
      </c>
      <c r="G51" s="13">
        <v>250</v>
      </c>
      <c r="H51" s="13">
        <v>0</v>
      </c>
      <c r="I51" s="11">
        <v>5</v>
      </c>
      <c r="J51" s="11">
        <v>5</v>
      </c>
      <c r="K51" s="15">
        <v>1.83</v>
      </c>
      <c r="L51" s="15">
        <v>1.79</v>
      </c>
      <c r="M51" s="14">
        <v>1.7999000000000001</v>
      </c>
      <c r="N51" s="15">
        <v>1.79</v>
      </c>
      <c r="O51" s="15">
        <v>1.79</v>
      </c>
      <c r="P51" s="15">
        <v>1.79</v>
      </c>
    </row>
    <row r="52" spans="1:16" x14ac:dyDescent="0.3">
      <c r="A52" s="25">
        <v>42886</v>
      </c>
      <c r="B52" s="25">
        <v>43084</v>
      </c>
      <c r="C52" s="2" t="s">
        <v>25</v>
      </c>
      <c r="D52" s="12">
        <v>8030</v>
      </c>
      <c r="E52" s="13">
        <v>250</v>
      </c>
      <c r="F52" s="13">
        <v>605</v>
      </c>
      <c r="G52" s="13">
        <v>250</v>
      </c>
      <c r="H52" s="13">
        <v>0</v>
      </c>
      <c r="I52" s="11">
        <v>5</v>
      </c>
      <c r="J52" s="11">
        <v>4</v>
      </c>
      <c r="K52" s="15">
        <v>1.81</v>
      </c>
      <c r="L52" s="15">
        <v>1.8</v>
      </c>
      <c r="M52" s="14">
        <v>1.806</v>
      </c>
      <c r="N52" s="15">
        <v>1.8</v>
      </c>
      <c r="O52" s="15">
        <v>1.79</v>
      </c>
      <c r="P52" s="15">
        <v>1.7929999999999999</v>
      </c>
    </row>
    <row r="53" spans="1:16" x14ac:dyDescent="0.3">
      <c r="A53" s="25">
        <v>42872</v>
      </c>
      <c r="B53" s="25">
        <v>43084</v>
      </c>
      <c r="C53" s="2" t="s">
        <v>25</v>
      </c>
      <c r="D53" s="12">
        <v>8029</v>
      </c>
      <c r="E53" s="13">
        <v>250</v>
      </c>
      <c r="F53" s="13">
        <v>750</v>
      </c>
      <c r="G53" s="13">
        <v>250</v>
      </c>
      <c r="H53" s="13">
        <v>0</v>
      </c>
      <c r="I53" s="11">
        <v>10</v>
      </c>
      <c r="J53" s="11">
        <v>5</v>
      </c>
      <c r="K53" s="15">
        <v>1.83</v>
      </c>
      <c r="L53" s="15">
        <v>1.81</v>
      </c>
      <c r="M53" s="14">
        <v>1.8180000000000001</v>
      </c>
      <c r="N53" s="15">
        <v>1.8</v>
      </c>
      <c r="O53" s="15">
        <v>1.7</v>
      </c>
      <c r="P53" s="15">
        <v>1.7745</v>
      </c>
    </row>
    <row r="54" spans="1:16" x14ac:dyDescent="0.3">
      <c r="A54" s="25">
        <v>42858</v>
      </c>
      <c r="B54" s="25">
        <v>43084</v>
      </c>
      <c r="C54" s="2" t="s">
        <v>25</v>
      </c>
      <c r="D54" s="12">
        <v>8028</v>
      </c>
      <c r="E54" s="13">
        <v>250</v>
      </c>
      <c r="F54" s="13">
        <v>655</v>
      </c>
      <c r="G54" s="13">
        <v>250</v>
      </c>
      <c r="H54" s="13">
        <v>0</v>
      </c>
      <c r="I54" s="11">
        <v>13</v>
      </c>
      <c r="J54" s="11">
        <v>6</v>
      </c>
      <c r="K54" s="15">
        <v>1.81</v>
      </c>
      <c r="L54" s="15">
        <v>1.8</v>
      </c>
      <c r="M54" s="14">
        <v>1.8042</v>
      </c>
      <c r="N54" s="15">
        <v>1.8</v>
      </c>
      <c r="O54" s="15">
        <v>1.7</v>
      </c>
      <c r="P54" s="15">
        <v>1.7622</v>
      </c>
    </row>
    <row r="55" spans="1:16" x14ac:dyDescent="0.3">
      <c r="A55" s="25">
        <v>42844</v>
      </c>
      <c r="B55" s="25">
        <v>43084</v>
      </c>
      <c r="C55" s="2" t="s">
        <v>25</v>
      </c>
      <c r="D55" s="12">
        <v>8027</v>
      </c>
      <c r="E55" s="13">
        <v>250</v>
      </c>
      <c r="F55" s="13">
        <v>96</v>
      </c>
      <c r="G55" s="13">
        <v>96</v>
      </c>
      <c r="H55" s="13">
        <v>-154</v>
      </c>
      <c r="I55" s="11">
        <v>6</v>
      </c>
      <c r="J55" s="11">
        <v>6</v>
      </c>
      <c r="K55" s="15">
        <v>1.855</v>
      </c>
      <c r="L55" s="15">
        <v>1.8</v>
      </c>
      <c r="M55" s="14">
        <v>1.8248</v>
      </c>
      <c r="N55" s="15">
        <v>0</v>
      </c>
      <c r="O55" s="15">
        <v>0</v>
      </c>
      <c r="P55" s="15">
        <v>0</v>
      </c>
    </row>
    <row r="56" spans="1:16" x14ac:dyDescent="0.3">
      <c r="A56" s="25">
        <v>42830</v>
      </c>
      <c r="B56" s="25">
        <v>43084</v>
      </c>
      <c r="C56" s="2" t="s">
        <v>25</v>
      </c>
      <c r="D56" s="12">
        <v>8026</v>
      </c>
      <c r="E56" s="13">
        <v>250</v>
      </c>
      <c r="F56" s="13">
        <v>682</v>
      </c>
      <c r="G56" s="13">
        <v>250</v>
      </c>
      <c r="H56" s="13">
        <v>0</v>
      </c>
      <c r="I56" s="11">
        <v>7</v>
      </c>
      <c r="J56" s="11">
        <v>1</v>
      </c>
      <c r="K56" s="15">
        <v>1.845</v>
      </c>
      <c r="L56" s="15">
        <v>1.845</v>
      </c>
      <c r="M56" s="14">
        <v>1.845</v>
      </c>
      <c r="N56" s="15">
        <v>1.84</v>
      </c>
      <c r="O56" s="15">
        <v>1.82</v>
      </c>
      <c r="P56" s="15">
        <v>1.8274999999999999</v>
      </c>
    </row>
    <row r="57" spans="1:16" x14ac:dyDescent="0.3">
      <c r="A57" s="25">
        <v>42816</v>
      </c>
      <c r="B57" s="25">
        <v>43084</v>
      </c>
      <c r="C57" s="2" t="s">
        <v>25</v>
      </c>
      <c r="D57" s="12">
        <v>8025</v>
      </c>
      <c r="E57" s="13">
        <v>250</v>
      </c>
      <c r="F57" s="13">
        <v>611</v>
      </c>
      <c r="G57" s="13">
        <v>250</v>
      </c>
      <c r="H57" s="13">
        <v>0</v>
      </c>
      <c r="I57" s="11">
        <v>6</v>
      </c>
      <c r="J57" s="11">
        <v>4</v>
      </c>
      <c r="K57" s="15">
        <v>1.85</v>
      </c>
      <c r="L57" s="15">
        <v>1.835</v>
      </c>
      <c r="M57" s="14">
        <v>1.8438000000000001</v>
      </c>
      <c r="N57" s="15">
        <v>1.835</v>
      </c>
      <c r="O57" s="15">
        <v>1.83</v>
      </c>
      <c r="P57" s="15">
        <v>1.8335999999999999</v>
      </c>
    </row>
    <row r="58" spans="1:16" x14ac:dyDescent="0.3">
      <c r="A58" s="25">
        <v>42802</v>
      </c>
      <c r="B58" s="25">
        <v>43084</v>
      </c>
      <c r="C58" s="2" t="s">
        <v>25</v>
      </c>
      <c r="D58" s="12">
        <v>8024</v>
      </c>
      <c r="E58" s="13">
        <v>250</v>
      </c>
      <c r="F58" s="13">
        <v>900</v>
      </c>
      <c r="G58" s="13">
        <v>250</v>
      </c>
      <c r="H58" s="13">
        <v>0</v>
      </c>
      <c r="I58" s="11">
        <v>10</v>
      </c>
      <c r="J58" s="11">
        <v>2</v>
      </c>
      <c r="K58" s="15">
        <v>1.87</v>
      </c>
      <c r="L58" s="15">
        <v>1.87</v>
      </c>
      <c r="M58" s="14">
        <v>1.87</v>
      </c>
      <c r="N58" s="15">
        <v>1.87</v>
      </c>
      <c r="O58" s="15">
        <v>1.84</v>
      </c>
      <c r="P58" s="15">
        <v>1.861</v>
      </c>
    </row>
    <row r="59" spans="1:16" x14ac:dyDescent="0.3">
      <c r="A59" s="25">
        <v>42788</v>
      </c>
      <c r="B59" s="25">
        <v>43084</v>
      </c>
      <c r="C59" s="2" t="s">
        <v>25</v>
      </c>
      <c r="D59" s="12">
        <v>8023</v>
      </c>
      <c r="E59" s="13">
        <v>250</v>
      </c>
      <c r="F59" s="13">
        <v>740</v>
      </c>
      <c r="G59" s="13">
        <v>250</v>
      </c>
      <c r="H59" s="13">
        <v>0</v>
      </c>
      <c r="I59" s="11">
        <v>7</v>
      </c>
      <c r="J59" s="11">
        <v>2</v>
      </c>
      <c r="K59" s="15">
        <v>1.88</v>
      </c>
      <c r="L59" s="15">
        <v>1.88</v>
      </c>
      <c r="M59" s="14">
        <v>1.88</v>
      </c>
      <c r="N59" s="15">
        <v>1.88</v>
      </c>
      <c r="O59" s="15">
        <v>1.84</v>
      </c>
      <c r="P59" s="15">
        <v>1.8751</v>
      </c>
    </row>
    <row r="60" spans="1:16" x14ac:dyDescent="0.3">
      <c r="A60" s="25">
        <v>42774</v>
      </c>
      <c r="B60" s="25">
        <v>43084</v>
      </c>
      <c r="C60" s="2" t="s">
        <v>25</v>
      </c>
      <c r="D60" s="12">
        <v>8022</v>
      </c>
      <c r="E60" s="13">
        <v>250</v>
      </c>
      <c r="F60" s="13">
        <v>534</v>
      </c>
      <c r="G60" s="13">
        <v>250</v>
      </c>
      <c r="H60" s="13">
        <v>0</v>
      </c>
      <c r="I60" s="11">
        <v>15</v>
      </c>
      <c r="J60" s="11">
        <v>12</v>
      </c>
      <c r="K60" s="15">
        <v>1.915</v>
      </c>
      <c r="L60" s="15">
        <v>1.9</v>
      </c>
      <c r="M60" s="14">
        <v>1.9067000000000001</v>
      </c>
      <c r="N60" s="15">
        <v>1.9</v>
      </c>
      <c r="O60" s="15">
        <v>1.89</v>
      </c>
      <c r="P60" s="15">
        <v>1.8947000000000001</v>
      </c>
    </row>
    <row r="61" spans="1:16" x14ac:dyDescent="0.3">
      <c r="A61" s="25">
        <v>42760</v>
      </c>
      <c r="B61" s="25">
        <v>43084</v>
      </c>
      <c r="C61" s="2" t="s">
        <v>25</v>
      </c>
      <c r="D61" s="12">
        <v>8021</v>
      </c>
      <c r="E61" s="13">
        <v>250</v>
      </c>
      <c r="F61" s="13">
        <v>1141</v>
      </c>
      <c r="G61" s="13">
        <v>250</v>
      </c>
      <c r="H61" s="13">
        <v>0</v>
      </c>
      <c r="I61" s="11">
        <v>13</v>
      </c>
      <c r="J61" s="11">
        <v>2</v>
      </c>
      <c r="K61" s="15">
        <v>1.91</v>
      </c>
      <c r="L61" s="15">
        <v>1.91</v>
      </c>
      <c r="M61" s="14">
        <v>1.91</v>
      </c>
      <c r="N61" s="15">
        <v>1.91</v>
      </c>
      <c r="O61" s="15">
        <v>1.88</v>
      </c>
      <c r="P61" s="15">
        <v>1.9003000000000001</v>
      </c>
    </row>
    <row r="62" spans="1:16" x14ac:dyDescent="0.3">
      <c r="A62" s="25">
        <v>42746</v>
      </c>
      <c r="B62" s="25">
        <v>43084</v>
      </c>
      <c r="C62" s="2" t="s">
        <v>25</v>
      </c>
      <c r="D62" s="12">
        <v>8020</v>
      </c>
      <c r="E62" s="13">
        <v>250</v>
      </c>
      <c r="F62" s="13">
        <v>1072</v>
      </c>
      <c r="G62" s="13">
        <v>250</v>
      </c>
      <c r="H62" s="13">
        <v>0</v>
      </c>
      <c r="I62" s="11">
        <v>9</v>
      </c>
      <c r="J62" s="11">
        <v>1</v>
      </c>
      <c r="K62" s="15">
        <v>1.9</v>
      </c>
      <c r="L62" s="15">
        <v>1.9</v>
      </c>
      <c r="M62" s="14">
        <v>1.9</v>
      </c>
      <c r="N62" s="15">
        <v>1.89</v>
      </c>
      <c r="O62" s="15">
        <v>1.85</v>
      </c>
      <c r="P62" s="15">
        <v>1.881</v>
      </c>
    </row>
    <row r="63" spans="1:16" x14ac:dyDescent="0.3">
      <c r="A63" s="25">
        <v>42711</v>
      </c>
      <c r="B63" s="25">
        <v>43084</v>
      </c>
      <c r="C63" s="2" t="s">
        <v>25</v>
      </c>
      <c r="D63" s="12">
        <v>8019</v>
      </c>
      <c r="E63" s="13">
        <v>250</v>
      </c>
      <c r="F63" s="13">
        <v>778</v>
      </c>
      <c r="G63" s="13">
        <v>250</v>
      </c>
      <c r="H63" s="13">
        <v>0</v>
      </c>
      <c r="I63" s="11">
        <v>6</v>
      </c>
      <c r="J63" s="11">
        <v>5</v>
      </c>
      <c r="K63" s="15">
        <v>1.92</v>
      </c>
      <c r="L63" s="15">
        <v>1.885</v>
      </c>
      <c r="M63" s="14">
        <v>1.9069</v>
      </c>
      <c r="N63" s="15">
        <v>1.885</v>
      </c>
      <c r="O63" s="15">
        <v>1.88</v>
      </c>
      <c r="P63" s="15">
        <v>1.8845000000000001</v>
      </c>
    </row>
    <row r="64" spans="1:16" x14ac:dyDescent="0.3">
      <c r="A64" s="25">
        <v>42697</v>
      </c>
      <c r="B64" s="25">
        <v>43084</v>
      </c>
      <c r="C64" s="2" t="s">
        <v>25</v>
      </c>
      <c r="D64" s="12">
        <v>8018</v>
      </c>
      <c r="E64" s="13">
        <v>250</v>
      </c>
      <c r="F64" s="13">
        <v>1110</v>
      </c>
      <c r="G64" s="13">
        <v>250</v>
      </c>
      <c r="H64" s="13">
        <v>0</v>
      </c>
      <c r="I64" s="11">
        <v>11</v>
      </c>
      <c r="J64" s="11">
        <v>3</v>
      </c>
      <c r="K64" s="15">
        <v>1.91</v>
      </c>
      <c r="L64" s="15">
        <v>1.895</v>
      </c>
      <c r="M64" s="14">
        <v>1.9091</v>
      </c>
      <c r="N64" s="15">
        <v>1.895</v>
      </c>
      <c r="O64" s="15">
        <v>1.85</v>
      </c>
      <c r="P64" s="15">
        <v>1.8849</v>
      </c>
    </row>
    <row r="65" spans="1:16" x14ac:dyDescent="0.3">
      <c r="A65" s="25">
        <v>42669</v>
      </c>
      <c r="B65" s="25">
        <v>43084</v>
      </c>
      <c r="C65" s="2" t="s">
        <v>25</v>
      </c>
      <c r="D65" s="12">
        <v>8017</v>
      </c>
      <c r="E65" s="13">
        <v>250</v>
      </c>
      <c r="F65" s="13">
        <v>492</v>
      </c>
      <c r="G65" s="13">
        <v>250</v>
      </c>
      <c r="H65" s="13">
        <v>0</v>
      </c>
      <c r="I65" s="11">
        <v>5</v>
      </c>
      <c r="J65" s="11">
        <v>1</v>
      </c>
      <c r="K65" s="15">
        <v>1.87</v>
      </c>
      <c r="L65" s="15">
        <v>1.87</v>
      </c>
      <c r="M65" s="14">
        <v>1.87</v>
      </c>
      <c r="N65" s="15">
        <v>1.865</v>
      </c>
      <c r="O65" s="15">
        <v>1.83</v>
      </c>
      <c r="P65" s="15">
        <v>1.8351999999999999</v>
      </c>
    </row>
    <row r="66" spans="1:16" x14ac:dyDescent="0.3">
      <c r="A66" s="25">
        <v>42655</v>
      </c>
      <c r="B66" s="25">
        <v>43084</v>
      </c>
      <c r="C66" s="2" t="s">
        <v>25</v>
      </c>
      <c r="D66" s="12">
        <v>8016</v>
      </c>
      <c r="E66" s="13">
        <v>250</v>
      </c>
      <c r="F66" s="13">
        <v>808</v>
      </c>
      <c r="G66" s="13">
        <v>250</v>
      </c>
      <c r="H66" s="13">
        <v>0</v>
      </c>
      <c r="I66" s="11">
        <v>9</v>
      </c>
      <c r="J66" s="11">
        <v>5</v>
      </c>
      <c r="K66" s="15">
        <v>1.885</v>
      </c>
      <c r="L66" s="15">
        <v>1.88</v>
      </c>
      <c r="M66" s="14">
        <v>1.881</v>
      </c>
      <c r="N66" s="15">
        <v>1.88</v>
      </c>
      <c r="O66" s="15">
        <v>1.83</v>
      </c>
      <c r="P66" s="15">
        <v>1.8540000000000001</v>
      </c>
    </row>
    <row r="67" spans="1:16" x14ac:dyDescent="0.3">
      <c r="A67" s="25">
        <v>42641</v>
      </c>
      <c r="B67" s="25">
        <v>43084</v>
      </c>
      <c r="C67" s="2" t="s">
        <v>25</v>
      </c>
      <c r="D67" s="12">
        <v>8015</v>
      </c>
      <c r="E67" s="13">
        <v>250</v>
      </c>
      <c r="F67" s="13">
        <v>1007</v>
      </c>
      <c r="G67" s="13">
        <v>250</v>
      </c>
      <c r="H67" s="13">
        <v>0</v>
      </c>
      <c r="I67" s="11">
        <v>16</v>
      </c>
      <c r="J67" s="11">
        <v>4</v>
      </c>
      <c r="K67" s="15">
        <v>1.865</v>
      </c>
      <c r="L67" s="15">
        <v>1.85</v>
      </c>
      <c r="M67" s="14">
        <v>1.8565</v>
      </c>
      <c r="N67" s="15">
        <v>1.845</v>
      </c>
      <c r="O67" s="15">
        <v>1.8</v>
      </c>
      <c r="P67" s="15">
        <v>1.8360000000000001</v>
      </c>
    </row>
    <row r="68" spans="1:16" x14ac:dyDescent="0.3">
      <c r="A68" s="25">
        <v>42627</v>
      </c>
      <c r="B68" s="25">
        <v>43084</v>
      </c>
      <c r="C68" s="2" t="s">
        <v>25</v>
      </c>
      <c r="D68" s="12">
        <v>8014</v>
      </c>
      <c r="E68" s="13">
        <v>250</v>
      </c>
      <c r="F68" s="13">
        <v>935</v>
      </c>
      <c r="G68" s="13">
        <v>250</v>
      </c>
      <c r="H68" s="13">
        <v>0</v>
      </c>
      <c r="I68" s="11">
        <v>11</v>
      </c>
      <c r="J68" s="11">
        <v>4</v>
      </c>
      <c r="K68" s="15">
        <v>1.9</v>
      </c>
      <c r="L68" s="15">
        <v>1.89</v>
      </c>
      <c r="M68" s="14">
        <v>1.8907</v>
      </c>
      <c r="N68" s="15">
        <v>1.89</v>
      </c>
      <c r="O68" s="15">
        <v>1.85</v>
      </c>
      <c r="P68" s="15">
        <v>1.8759999999999999</v>
      </c>
    </row>
    <row r="69" spans="1:16" x14ac:dyDescent="0.3">
      <c r="A69" s="25">
        <v>42613</v>
      </c>
      <c r="B69" s="25">
        <v>43084</v>
      </c>
      <c r="C69" s="2" t="s">
        <v>25</v>
      </c>
      <c r="D69" s="12">
        <v>8013</v>
      </c>
      <c r="E69" s="13">
        <v>250</v>
      </c>
      <c r="F69" s="13">
        <v>330</v>
      </c>
      <c r="G69" s="13">
        <v>250</v>
      </c>
      <c r="H69" s="13">
        <v>0</v>
      </c>
      <c r="I69" s="11">
        <v>7</v>
      </c>
      <c r="J69" s="11">
        <v>5</v>
      </c>
      <c r="K69" s="15">
        <v>1.81</v>
      </c>
      <c r="L69" s="15">
        <v>1.7949999999999999</v>
      </c>
      <c r="M69" s="14">
        <v>1.8051999999999999</v>
      </c>
      <c r="N69" s="15">
        <v>1.7949999999999999</v>
      </c>
      <c r="O69" s="15">
        <v>1.77</v>
      </c>
      <c r="P69" s="15">
        <v>1.7819</v>
      </c>
    </row>
    <row r="70" spans="1:16" x14ac:dyDescent="0.3">
      <c r="A70" s="25">
        <v>42592</v>
      </c>
      <c r="B70" s="25">
        <v>43084</v>
      </c>
      <c r="C70" s="2" t="s">
        <v>25</v>
      </c>
      <c r="D70" s="12">
        <v>8012</v>
      </c>
      <c r="E70" s="13">
        <v>250</v>
      </c>
      <c r="F70" s="13">
        <v>1040</v>
      </c>
      <c r="G70" s="13">
        <v>250</v>
      </c>
      <c r="H70" s="13">
        <v>0</v>
      </c>
      <c r="I70" s="11">
        <v>20</v>
      </c>
      <c r="J70" s="11">
        <v>7</v>
      </c>
      <c r="K70" s="15">
        <v>1.75</v>
      </c>
      <c r="L70" s="15">
        <v>1.7250000000000001</v>
      </c>
      <c r="M70" s="14">
        <v>1.7330000000000001</v>
      </c>
      <c r="N70" s="15">
        <v>1.7250000000000001</v>
      </c>
      <c r="O70" s="15">
        <v>1.66</v>
      </c>
      <c r="P70" s="15">
        <v>1.7028000000000001</v>
      </c>
    </row>
    <row r="71" spans="1:16" x14ac:dyDescent="0.3">
      <c r="A71" s="25">
        <v>42578</v>
      </c>
      <c r="B71" s="25">
        <v>43084</v>
      </c>
      <c r="C71" s="2" t="s">
        <v>25</v>
      </c>
      <c r="D71" s="12">
        <v>8011</v>
      </c>
      <c r="E71" s="13">
        <v>500</v>
      </c>
      <c r="F71" s="13">
        <v>1722</v>
      </c>
      <c r="G71" s="13">
        <v>500</v>
      </c>
      <c r="H71" s="13">
        <v>0</v>
      </c>
      <c r="I71" s="11">
        <v>30</v>
      </c>
      <c r="J71" s="11">
        <v>9</v>
      </c>
      <c r="K71" s="15">
        <v>1.855</v>
      </c>
      <c r="L71" s="15">
        <v>1.84</v>
      </c>
      <c r="M71" s="14">
        <v>1.847</v>
      </c>
      <c r="N71" s="15">
        <v>1.84</v>
      </c>
      <c r="O71" s="15">
        <v>1.79</v>
      </c>
      <c r="P71" s="15">
        <v>1.8189</v>
      </c>
    </row>
    <row r="72" spans="1:16" x14ac:dyDescent="0.3">
      <c r="A72" s="25">
        <v>42557</v>
      </c>
      <c r="B72" s="25">
        <v>43084</v>
      </c>
      <c r="C72" s="2" t="s">
        <v>25</v>
      </c>
      <c r="D72" s="12">
        <v>8010</v>
      </c>
      <c r="E72" s="13">
        <v>500</v>
      </c>
      <c r="F72" s="13">
        <v>693</v>
      </c>
      <c r="G72" s="13">
        <v>500</v>
      </c>
      <c r="H72" s="13">
        <v>0</v>
      </c>
      <c r="I72" s="11">
        <v>22</v>
      </c>
      <c r="J72" s="11">
        <v>21</v>
      </c>
      <c r="K72" s="15">
        <v>2</v>
      </c>
      <c r="L72" s="15">
        <v>1.94</v>
      </c>
      <c r="M72" s="14">
        <v>1.9638</v>
      </c>
      <c r="N72" s="15">
        <v>1.94</v>
      </c>
      <c r="O72" s="15">
        <v>1.93</v>
      </c>
      <c r="P72" s="15">
        <v>1.9374</v>
      </c>
    </row>
    <row r="73" spans="1:16" x14ac:dyDescent="0.3">
      <c r="A73" s="25">
        <v>41892</v>
      </c>
      <c r="B73" s="25">
        <v>42109</v>
      </c>
      <c r="C73" s="2" t="s">
        <v>25</v>
      </c>
      <c r="D73" s="12">
        <v>8009</v>
      </c>
      <c r="E73" s="13">
        <v>500</v>
      </c>
      <c r="F73" s="13">
        <v>577</v>
      </c>
      <c r="G73" s="13">
        <v>500</v>
      </c>
      <c r="H73" s="13">
        <v>0</v>
      </c>
      <c r="I73" s="11">
        <v>6</v>
      </c>
      <c r="J73" s="11">
        <v>2</v>
      </c>
      <c r="K73" s="15">
        <v>3.58</v>
      </c>
      <c r="L73" s="15">
        <v>3.58</v>
      </c>
      <c r="M73" s="14">
        <v>3.58</v>
      </c>
      <c r="N73" s="15">
        <v>3.58</v>
      </c>
      <c r="O73" s="15">
        <v>3.55</v>
      </c>
      <c r="P73" s="15">
        <v>3.5602999999999998</v>
      </c>
    </row>
    <row r="74" spans="1:16" x14ac:dyDescent="0.3">
      <c r="A74" s="25">
        <v>41878</v>
      </c>
      <c r="B74" s="25">
        <v>42109</v>
      </c>
      <c r="C74" s="2" t="s">
        <v>25</v>
      </c>
      <c r="D74" s="12">
        <v>8008</v>
      </c>
      <c r="E74" s="13">
        <v>500</v>
      </c>
      <c r="F74" s="13">
        <v>1175</v>
      </c>
      <c r="G74" s="13">
        <v>500</v>
      </c>
      <c r="H74" s="13">
        <v>0</v>
      </c>
      <c r="I74" s="11">
        <v>16</v>
      </c>
      <c r="J74" s="11">
        <v>4</v>
      </c>
      <c r="K74" s="15">
        <v>3.57</v>
      </c>
      <c r="L74" s="15">
        <v>3.56</v>
      </c>
      <c r="M74" s="14">
        <v>3.5638000000000001</v>
      </c>
      <c r="N74" s="15">
        <v>3.56</v>
      </c>
      <c r="O74" s="15">
        <v>3.52</v>
      </c>
      <c r="P74" s="15">
        <v>3.552</v>
      </c>
    </row>
    <row r="75" spans="1:16" x14ac:dyDescent="0.3">
      <c r="A75" s="25">
        <v>41843</v>
      </c>
      <c r="B75" s="25">
        <v>42109</v>
      </c>
      <c r="C75" s="2" t="s">
        <v>25</v>
      </c>
      <c r="D75" s="12">
        <v>8007</v>
      </c>
      <c r="E75" s="13">
        <v>500</v>
      </c>
      <c r="F75" s="13">
        <v>510</v>
      </c>
      <c r="G75" s="13">
        <v>500</v>
      </c>
      <c r="H75" s="13">
        <v>0</v>
      </c>
      <c r="I75" s="11">
        <v>11</v>
      </c>
      <c r="J75" s="11">
        <v>11</v>
      </c>
      <c r="K75" s="15">
        <v>3.6</v>
      </c>
      <c r="L75" s="15">
        <v>3.57</v>
      </c>
      <c r="M75" s="14">
        <v>3.5947</v>
      </c>
      <c r="N75" s="15">
        <v>3.57</v>
      </c>
      <c r="O75" s="15">
        <v>3.57</v>
      </c>
      <c r="P75" s="15">
        <v>3.57</v>
      </c>
    </row>
    <row r="76" spans="1:16" x14ac:dyDescent="0.3">
      <c r="A76" s="25">
        <v>41766</v>
      </c>
      <c r="B76" s="25">
        <v>42109</v>
      </c>
      <c r="C76" s="2" t="s">
        <v>25</v>
      </c>
      <c r="D76" s="12">
        <v>8006</v>
      </c>
      <c r="E76" s="13">
        <v>500</v>
      </c>
      <c r="F76" s="13">
        <v>884</v>
      </c>
      <c r="G76" s="13">
        <v>500</v>
      </c>
      <c r="H76" s="13">
        <v>0</v>
      </c>
      <c r="I76" s="11">
        <v>23</v>
      </c>
      <c r="J76" s="11">
        <v>16</v>
      </c>
      <c r="K76" s="15">
        <v>3.45</v>
      </c>
      <c r="L76" s="15">
        <v>3.42</v>
      </c>
      <c r="M76" s="14">
        <v>3.4276</v>
      </c>
      <c r="N76" s="15">
        <v>3.42</v>
      </c>
      <c r="O76" s="15">
        <v>3.4</v>
      </c>
      <c r="P76" s="15">
        <v>3.4138999999999999</v>
      </c>
    </row>
    <row r="77" spans="1:16" x14ac:dyDescent="0.3">
      <c r="A77" s="25">
        <v>41759</v>
      </c>
      <c r="B77" s="25">
        <v>42109</v>
      </c>
      <c r="C77" s="2" t="s">
        <v>25</v>
      </c>
      <c r="D77" s="12">
        <v>8005</v>
      </c>
      <c r="E77" s="13">
        <v>500</v>
      </c>
      <c r="F77" s="13">
        <v>917</v>
      </c>
      <c r="G77" s="13">
        <v>500</v>
      </c>
      <c r="H77" s="13">
        <v>0</v>
      </c>
      <c r="I77" s="11">
        <v>16</v>
      </c>
      <c r="J77" s="11">
        <v>9</v>
      </c>
      <c r="K77" s="15">
        <v>3.4649999999999999</v>
      </c>
      <c r="L77" s="15">
        <v>3.4449999999999998</v>
      </c>
      <c r="M77" s="14">
        <v>3.4577</v>
      </c>
      <c r="N77" s="15">
        <v>3.4449999999999998</v>
      </c>
      <c r="O77" s="15">
        <v>3.43</v>
      </c>
      <c r="P77" s="15">
        <v>3.4403000000000001</v>
      </c>
    </row>
    <row r="78" spans="1:16" s="18" customFormat="1" x14ac:dyDescent="0.3">
      <c r="A78" s="25">
        <v>41752</v>
      </c>
      <c r="B78" s="25">
        <v>42109</v>
      </c>
      <c r="C78" s="2" t="s">
        <v>25</v>
      </c>
      <c r="D78" s="12">
        <v>8004</v>
      </c>
      <c r="E78" s="13">
        <v>500</v>
      </c>
      <c r="F78" s="13">
        <v>1094</v>
      </c>
      <c r="G78" s="13">
        <v>500</v>
      </c>
      <c r="H78" s="13">
        <v>0</v>
      </c>
      <c r="I78" s="11">
        <v>15</v>
      </c>
      <c r="J78" s="11">
        <v>6</v>
      </c>
      <c r="K78" s="15">
        <v>3.4750000000000001</v>
      </c>
      <c r="L78" s="15">
        <v>3.4649999999999999</v>
      </c>
      <c r="M78" s="14">
        <v>3.47</v>
      </c>
      <c r="N78" s="15">
        <v>3.4649999999999999</v>
      </c>
      <c r="O78" s="15">
        <v>3.44</v>
      </c>
      <c r="P78" s="15">
        <v>3.4539</v>
      </c>
    </row>
    <row r="79" spans="1:16" x14ac:dyDescent="0.3">
      <c r="A79" s="25">
        <v>41746</v>
      </c>
      <c r="B79" s="25">
        <v>42109</v>
      </c>
      <c r="C79" s="2" t="s">
        <v>25</v>
      </c>
      <c r="D79" s="12">
        <v>8003</v>
      </c>
      <c r="E79" s="13">
        <v>500</v>
      </c>
      <c r="F79" s="13">
        <v>1779</v>
      </c>
      <c r="G79" s="13">
        <v>500</v>
      </c>
      <c r="H79" s="13">
        <v>0</v>
      </c>
      <c r="I79" s="11">
        <v>18</v>
      </c>
      <c r="J79" s="11">
        <v>7</v>
      </c>
      <c r="K79" s="15">
        <v>3.47</v>
      </c>
      <c r="L79" s="15">
        <v>3.46</v>
      </c>
      <c r="M79" s="14">
        <v>3.4649999999999999</v>
      </c>
      <c r="N79" s="15">
        <v>3.46</v>
      </c>
      <c r="O79" s="15">
        <v>3.43</v>
      </c>
      <c r="P79" s="15">
        <v>3.4491000000000001</v>
      </c>
    </row>
    <row r="80" spans="1:16" x14ac:dyDescent="0.3">
      <c r="A80" s="25">
        <v>41682</v>
      </c>
      <c r="B80" s="25">
        <v>42109</v>
      </c>
      <c r="C80" s="2" t="s">
        <v>25</v>
      </c>
      <c r="D80" s="12">
        <v>8002</v>
      </c>
      <c r="E80" s="13">
        <v>500</v>
      </c>
      <c r="F80" s="13">
        <v>628</v>
      </c>
      <c r="G80" s="13">
        <v>144</v>
      </c>
      <c r="H80" s="13">
        <v>-356</v>
      </c>
      <c r="I80" s="11">
        <v>19</v>
      </c>
      <c r="J80" s="11">
        <v>5</v>
      </c>
      <c r="K80" s="15">
        <v>3.2450000000000001</v>
      </c>
      <c r="L80" s="15">
        <v>3.24</v>
      </c>
      <c r="M80" s="14">
        <v>3.2404999999999999</v>
      </c>
      <c r="N80" s="15">
        <v>3.23</v>
      </c>
      <c r="O80" s="15">
        <v>3.145</v>
      </c>
      <c r="P80" s="15">
        <v>3.2090999999999998</v>
      </c>
    </row>
    <row r="81" spans="1:16" x14ac:dyDescent="0.3">
      <c r="A81" s="26">
        <v>39911</v>
      </c>
      <c r="B81" s="25">
        <v>40009</v>
      </c>
      <c r="C81" s="19" t="s">
        <v>25</v>
      </c>
      <c r="D81" s="20">
        <v>8001</v>
      </c>
      <c r="E81" s="21">
        <v>300</v>
      </c>
      <c r="F81" s="21">
        <v>150</v>
      </c>
      <c r="G81" s="21">
        <v>50</v>
      </c>
      <c r="H81" s="21">
        <v>-250</v>
      </c>
      <c r="I81" s="24">
        <v>2</v>
      </c>
      <c r="J81" s="24">
        <v>1</v>
      </c>
      <c r="K81" s="22">
        <v>3.01</v>
      </c>
      <c r="L81" s="22">
        <v>3.01</v>
      </c>
      <c r="M81" s="23">
        <v>3.01</v>
      </c>
      <c r="N81" s="22">
        <v>2.85</v>
      </c>
      <c r="O81" s="22">
        <v>2.85</v>
      </c>
      <c r="P81" s="22">
        <v>2.85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95047-BF1B-4A0C-97A1-D742AB67FF10}">
  <dimension ref="A1:F116"/>
  <sheetViews>
    <sheetView topLeftCell="A4" workbookViewId="0">
      <pane ySplit="5" topLeftCell="A9" activePane="bottomLeft" state="frozen"/>
      <selection activeCell="A4" sqref="A4"/>
      <selection pane="bottomLeft" activeCell="A4" sqref="A4"/>
    </sheetView>
  </sheetViews>
  <sheetFormatPr defaultColWidth="9.140625" defaultRowHeight="16.5" x14ac:dyDescent="0.3"/>
  <cols>
    <col min="1" max="1" width="18" style="2" bestFit="1" customWidth="1"/>
    <col min="2" max="2" width="18" style="2" customWidth="1"/>
    <col min="3" max="3" width="17.28515625" style="2" bestFit="1" customWidth="1"/>
    <col min="4" max="4" width="12.5703125" style="2" customWidth="1"/>
    <col min="5" max="5" width="15" style="13" customWidth="1"/>
    <col min="6" max="6" width="9.42578125" style="1" bestFit="1" customWidth="1"/>
    <col min="7" max="16384" width="9.140625" style="1"/>
  </cols>
  <sheetData>
    <row r="1" spans="1:6" s="8" customFormat="1" x14ac:dyDescent="0.3">
      <c r="A1" s="3" t="s">
        <v>0</v>
      </c>
      <c r="B1" s="3"/>
      <c r="C1" s="2"/>
      <c r="D1" s="2"/>
      <c r="E1" s="6"/>
    </row>
    <row r="2" spans="1:6" s="8" customFormat="1" x14ac:dyDescent="0.3">
      <c r="A2" s="3" t="s">
        <v>1</v>
      </c>
      <c r="B2" s="3"/>
      <c r="C2" s="2"/>
      <c r="D2" s="2"/>
      <c r="E2" s="6"/>
    </row>
    <row r="3" spans="1:6" s="8" customFormat="1" x14ac:dyDescent="0.3">
      <c r="A3" s="4" t="s">
        <v>2</v>
      </c>
      <c r="B3" s="4"/>
      <c r="C3" s="2"/>
      <c r="D3" s="2"/>
      <c r="E3" s="6"/>
    </row>
    <row r="4" spans="1:6" s="8" customFormat="1" x14ac:dyDescent="0.3">
      <c r="A4" s="3" t="s">
        <v>0</v>
      </c>
      <c r="B4" s="3"/>
      <c r="C4" s="2"/>
      <c r="D4" s="5"/>
      <c r="E4" s="6"/>
    </row>
    <row r="5" spans="1:6" s="8" customFormat="1" x14ac:dyDescent="0.3">
      <c r="A5" s="3" t="s">
        <v>21</v>
      </c>
      <c r="B5" s="3"/>
      <c r="C5" s="2"/>
      <c r="D5" s="5"/>
      <c r="E5" s="6"/>
    </row>
    <row r="6" spans="1:6" s="8" customFormat="1" x14ac:dyDescent="0.3">
      <c r="A6" s="4" t="s">
        <v>28</v>
      </c>
      <c r="B6" s="4"/>
      <c r="C6" s="2"/>
      <c r="D6" s="5"/>
      <c r="E6" s="6"/>
    </row>
    <row r="7" spans="1:6" s="8" customFormat="1" x14ac:dyDescent="0.3">
      <c r="A7" s="4" t="s">
        <v>17</v>
      </c>
      <c r="B7" s="4"/>
      <c r="C7" s="2"/>
      <c r="D7" s="2"/>
      <c r="E7" s="6"/>
    </row>
    <row r="8" spans="1:6" s="11" customFormat="1" ht="33" x14ac:dyDescent="0.3">
      <c r="A8" s="9" t="s">
        <v>19</v>
      </c>
      <c r="B8" s="9" t="s">
        <v>18</v>
      </c>
      <c r="C8" s="9" t="s">
        <v>14</v>
      </c>
      <c r="D8" s="16" t="s">
        <v>4</v>
      </c>
      <c r="E8" s="16" t="s">
        <v>7</v>
      </c>
      <c r="F8" s="17" t="s">
        <v>20</v>
      </c>
    </row>
    <row r="9" spans="1:6" s="11" customFormat="1" x14ac:dyDescent="0.3">
      <c r="A9" s="26">
        <v>46280</v>
      </c>
      <c r="B9" s="26">
        <v>46282</v>
      </c>
      <c r="C9" s="26">
        <v>47228</v>
      </c>
      <c r="D9" s="19" t="s">
        <v>25</v>
      </c>
      <c r="E9" s="21">
        <v>415</v>
      </c>
      <c r="F9" s="27">
        <v>4.1924999999999999</v>
      </c>
    </row>
    <row r="10" spans="1:6" s="11" customFormat="1" x14ac:dyDescent="0.3">
      <c r="A10" s="26">
        <v>46251</v>
      </c>
      <c r="B10" s="26">
        <v>46253</v>
      </c>
      <c r="C10" s="26">
        <v>47228</v>
      </c>
      <c r="D10" s="19" t="s">
        <v>25</v>
      </c>
      <c r="E10" s="21">
        <v>415</v>
      </c>
      <c r="F10" s="27">
        <v>3.7625000000000002</v>
      </c>
    </row>
    <row r="11" spans="1:6" s="11" customFormat="1" x14ac:dyDescent="0.3">
      <c r="A11" s="26">
        <v>46218</v>
      </c>
      <c r="B11" s="26">
        <v>46220</v>
      </c>
      <c r="C11" s="26">
        <v>47228</v>
      </c>
      <c r="D11" s="19" t="s">
        <v>25</v>
      </c>
      <c r="E11" s="21">
        <v>415</v>
      </c>
      <c r="F11" s="27">
        <v>3.83</v>
      </c>
    </row>
    <row r="12" spans="1:6" s="11" customFormat="1" x14ac:dyDescent="0.3">
      <c r="A12" s="26">
        <v>46188</v>
      </c>
      <c r="B12" s="26">
        <v>46190</v>
      </c>
      <c r="C12" s="26">
        <v>47228</v>
      </c>
      <c r="D12" s="19" t="s">
        <v>25</v>
      </c>
      <c r="E12" s="21">
        <v>435</v>
      </c>
      <c r="F12" s="27">
        <v>3.53</v>
      </c>
    </row>
    <row r="13" spans="1:6" s="11" customFormat="1" x14ac:dyDescent="0.3">
      <c r="A13" s="26">
        <v>46157</v>
      </c>
      <c r="B13" s="26">
        <v>46161</v>
      </c>
      <c r="C13" s="26">
        <v>47228</v>
      </c>
      <c r="D13" s="19" t="s">
        <v>25</v>
      </c>
      <c r="E13" s="21">
        <v>415</v>
      </c>
      <c r="F13" s="27">
        <v>3.9024999999999999</v>
      </c>
    </row>
    <row r="14" spans="1:6" s="11" customFormat="1" x14ac:dyDescent="0.3">
      <c r="A14" s="26">
        <v>46127</v>
      </c>
      <c r="B14" s="26">
        <v>46129</v>
      </c>
      <c r="C14" s="26">
        <v>47228</v>
      </c>
      <c r="D14" s="19" t="s">
        <v>25</v>
      </c>
      <c r="E14" s="21">
        <v>415</v>
      </c>
      <c r="F14" s="27">
        <v>3.7850000000000001</v>
      </c>
    </row>
    <row r="15" spans="1:6" s="11" customFormat="1" x14ac:dyDescent="0.3">
      <c r="A15" s="26">
        <v>46097</v>
      </c>
      <c r="B15" s="26">
        <v>46099</v>
      </c>
      <c r="C15" s="26">
        <v>47228</v>
      </c>
      <c r="D15" s="19" t="s">
        <v>25</v>
      </c>
      <c r="E15" s="21">
        <v>415</v>
      </c>
      <c r="F15" s="27">
        <v>3.7850000000000001</v>
      </c>
    </row>
    <row r="16" spans="1:6" s="11" customFormat="1" x14ac:dyDescent="0.3">
      <c r="A16" s="26">
        <v>46069</v>
      </c>
      <c r="B16" s="26">
        <v>46071</v>
      </c>
      <c r="C16" s="26">
        <v>47228</v>
      </c>
      <c r="D16" s="19" t="s">
        <v>25</v>
      </c>
      <c r="E16" s="21">
        <v>179</v>
      </c>
      <c r="F16" s="27">
        <v>3.4725000000000001</v>
      </c>
    </row>
    <row r="17" spans="1:6" s="11" customFormat="1" x14ac:dyDescent="0.3">
      <c r="A17" s="26">
        <v>46069</v>
      </c>
      <c r="B17" s="26">
        <v>46071</v>
      </c>
      <c r="C17" s="26">
        <v>46888</v>
      </c>
      <c r="D17" s="19" t="s">
        <v>25</v>
      </c>
      <c r="E17" s="21">
        <v>236</v>
      </c>
      <c r="F17" s="27">
        <v>3.2174999999999998</v>
      </c>
    </row>
    <row r="18" spans="1:6" s="11" customFormat="1" x14ac:dyDescent="0.3">
      <c r="A18" s="26">
        <v>46037</v>
      </c>
      <c r="B18" s="26">
        <v>46041</v>
      </c>
      <c r="C18" s="26">
        <v>46888</v>
      </c>
      <c r="D18" s="19" t="s">
        <v>25</v>
      </c>
      <c r="E18" s="21">
        <v>415</v>
      </c>
      <c r="F18" s="27">
        <v>3.0649999999999999</v>
      </c>
    </row>
    <row r="19" spans="1:6" s="11" customFormat="1" x14ac:dyDescent="0.3">
      <c r="A19" s="26">
        <v>46006</v>
      </c>
      <c r="B19" s="26">
        <v>46008</v>
      </c>
      <c r="C19" s="26">
        <v>46888</v>
      </c>
      <c r="D19" s="19" t="s">
        <v>25</v>
      </c>
      <c r="E19" s="21">
        <v>279</v>
      </c>
      <c r="F19" s="27">
        <v>3.29</v>
      </c>
    </row>
    <row r="20" spans="1:6" s="11" customFormat="1" x14ac:dyDescent="0.3">
      <c r="A20" s="26">
        <v>46006</v>
      </c>
      <c r="B20" s="26">
        <v>46008</v>
      </c>
      <c r="C20" s="26">
        <v>47746</v>
      </c>
      <c r="D20" s="19" t="s">
        <v>24</v>
      </c>
      <c r="E20" s="21">
        <v>136</v>
      </c>
      <c r="F20" s="27">
        <v>1.74</v>
      </c>
    </row>
    <row r="21" spans="1:6" s="11" customFormat="1" x14ac:dyDescent="0.3">
      <c r="A21" s="26">
        <v>45978</v>
      </c>
      <c r="B21" s="26">
        <v>45980</v>
      </c>
      <c r="C21" s="26">
        <v>47746</v>
      </c>
      <c r="D21" s="19" t="s">
        <v>24</v>
      </c>
      <c r="E21" s="21">
        <v>415</v>
      </c>
      <c r="F21" s="27">
        <v>1.35</v>
      </c>
    </row>
    <row r="22" spans="1:6" s="11" customFormat="1" x14ac:dyDescent="0.3">
      <c r="A22" s="26">
        <v>45945</v>
      </c>
      <c r="B22" s="26">
        <v>45947</v>
      </c>
      <c r="C22" s="26">
        <v>47746</v>
      </c>
      <c r="D22" s="19" t="s">
        <v>24</v>
      </c>
      <c r="E22" s="21">
        <v>19</v>
      </c>
      <c r="F22" s="27">
        <v>1.42</v>
      </c>
    </row>
    <row r="23" spans="1:6" s="11" customFormat="1" x14ac:dyDescent="0.3">
      <c r="A23" s="26">
        <v>45945</v>
      </c>
      <c r="B23" s="26">
        <v>45947</v>
      </c>
      <c r="C23" s="26">
        <v>47983</v>
      </c>
      <c r="D23" s="19" t="s">
        <v>25</v>
      </c>
      <c r="E23" s="21">
        <v>396</v>
      </c>
      <c r="F23" s="27">
        <v>3.46</v>
      </c>
    </row>
    <row r="24" spans="1:6" s="11" customFormat="1" x14ac:dyDescent="0.3">
      <c r="A24" s="26">
        <v>45915</v>
      </c>
      <c r="B24" s="26">
        <v>45917</v>
      </c>
      <c r="C24" s="26">
        <v>47983</v>
      </c>
      <c r="D24" s="19" t="s">
        <v>25</v>
      </c>
      <c r="E24" s="21">
        <v>415</v>
      </c>
      <c r="F24" s="27">
        <v>3.78</v>
      </c>
    </row>
    <row r="25" spans="1:6" s="11" customFormat="1" x14ac:dyDescent="0.3">
      <c r="A25" s="26">
        <v>45887</v>
      </c>
      <c r="B25" s="26">
        <v>45889</v>
      </c>
      <c r="C25" s="26">
        <v>47983</v>
      </c>
      <c r="D25" s="19" t="s">
        <v>25</v>
      </c>
      <c r="E25" s="21">
        <v>415</v>
      </c>
      <c r="F25" s="27">
        <v>3.9249999999999998</v>
      </c>
    </row>
    <row r="26" spans="1:6" s="11" customFormat="1" x14ac:dyDescent="0.3">
      <c r="A26" s="26">
        <v>45853</v>
      </c>
      <c r="B26" s="26">
        <v>45855</v>
      </c>
      <c r="C26" s="26">
        <v>47983</v>
      </c>
      <c r="D26" s="19" t="s">
        <v>25</v>
      </c>
      <c r="E26" s="21">
        <v>415</v>
      </c>
      <c r="F26" s="27">
        <v>4.0774999999999997</v>
      </c>
    </row>
    <row r="27" spans="1:6" s="11" customFormat="1" x14ac:dyDescent="0.3">
      <c r="A27" s="26">
        <v>45824</v>
      </c>
      <c r="B27" s="26">
        <v>45826</v>
      </c>
      <c r="C27" s="26">
        <v>47983</v>
      </c>
      <c r="D27" s="19" t="s">
        <v>25</v>
      </c>
      <c r="E27" s="21">
        <v>435</v>
      </c>
      <c r="F27" s="27">
        <v>4.1675000000000004</v>
      </c>
    </row>
    <row r="28" spans="1:6" s="11" customFormat="1" x14ac:dyDescent="0.3">
      <c r="A28" s="26">
        <v>45792</v>
      </c>
      <c r="B28" s="26">
        <v>45796</v>
      </c>
      <c r="C28" s="26">
        <v>47983</v>
      </c>
      <c r="D28" s="19" t="s">
        <v>25</v>
      </c>
      <c r="E28" s="21">
        <v>415</v>
      </c>
      <c r="F28" s="27">
        <v>4.1475</v>
      </c>
    </row>
    <row r="29" spans="1:6" s="11" customFormat="1" x14ac:dyDescent="0.3">
      <c r="A29" s="26">
        <v>45762</v>
      </c>
      <c r="B29" s="26">
        <v>45764</v>
      </c>
      <c r="C29" s="26">
        <v>47983</v>
      </c>
      <c r="D29" s="19" t="s">
        <v>25</v>
      </c>
      <c r="E29" s="21">
        <v>415</v>
      </c>
      <c r="F29" s="27">
        <v>4.05</v>
      </c>
    </row>
    <row r="30" spans="1:6" s="11" customFormat="1" x14ac:dyDescent="0.3">
      <c r="A30" s="26">
        <v>45733</v>
      </c>
      <c r="B30" s="26">
        <v>45735</v>
      </c>
      <c r="C30" s="26">
        <v>47983</v>
      </c>
      <c r="D30" s="19" t="s">
        <v>25</v>
      </c>
      <c r="E30" s="21">
        <v>415</v>
      </c>
      <c r="F30" s="27">
        <v>4.2874999999999996</v>
      </c>
    </row>
    <row r="31" spans="1:6" s="11" customFormat="1" x14ac:dyDescent="0.3">
      <c r="A31" s="26">
        <v>45705</v>
      </c>
      <c r="B31" s="26">
        <v>45707</v>
      </c>
      <c r="C31" s="26">
        <v>47983</v>
      </c>
      <c r="D31" s="19" t="s">
        <v>25</v>
      </c>
      <c r="E31" s="21">
        <v>415</v>
      </c>
      <c r="F31" s="27">
        <v>4.2625000000000002</v>
      </c>
    </row>
    <row r="32" spans="1:6" s="11" customFormat="1" x14ac:dyDescent="0.3">
      <c r="A32" s="26">
        <v>45672</v>
      </c>
      <c r="B32" s="26">
        <v>45674</v>
      </c>
      <c r="C32" s="26">
        <v>47983</v>
      </c>
      <c r="D32" s="19" t="s">
        <v>25</v>
      </c>
      <c r="E32" s="21">
        <v>415</v>
      </c>
      <c r="F32" s="27">
        <v>4.4275000000000002</v>
      </c>
    </row>
    <row r="33" spans="1:6" s="11" customFormat="1" x14ac:dyDescent="0.3">
      <c r="A33" s="26">
        <v>45642</v>
      </c>
      <c r="B33" s="26">
        <v>45644</v>
      </c>
      <c r="C33" s="26">
        <v>47983</v>
      </c>
      <c r="D33" s="19" t="s">
        <v>25</v>
      </c>
      <c r="E33" s="21">
        <v>415</v>
      </c>
      <c r="F33" s="27">
        <v>4.2024999999999997</v>
      </c>
    </row>
    <row r="34" spans="1:6" s="11" customFormat="1" x14ac:dyDescent="0.3">
      <c r="A34" s="26">
        <v>45611</v>
      </c>
      <c r="B34" s="26">
        <v>45615</v>
      </c>
      <c r="C34" s="26">
        <v>47983</v>
      </c>
      <c r="D34" s="19" t="s">
        <v>25</v>
      </c>
      <c r="E34" s="21">
        <v>415</v>
      </c>
      <c r="F34" s="27">
        <v>4.49</v>
      </c>
    </row>
    <row r="35" spans="1:6" s="11" customFormat="1" x14ac:dyDescent="0.3">
      <c r="A35" s="26">
        <v>45580</v>
      </c>
      <c r="B35" s="26">
        <v>45582</v>
      </c>
      <c r="C35" s="26">
        <v>47983</v>
      </c>
      <c r="D35" s="19" t="s">
        <v>25</v>
      </c>
      <c r="E35" s="21">
        <v>235</v>
      </c>
      <c r="F35" s="27">
        <v>4.2024999999999997</v>
      </c>
    </row>
    <row r="36" spans="1:6" s="11" customFormat="1" x14ac:dyDescent="0.3">
      <c r="A36" s="26">
        <v>45580</v>
      </c>
      <c r="B36" s="26">
        <v>45582</v>
      </c>
      <c r="C36" s="26">
        <v>48683</v>
      </c>
      <c r="D36" s="19" t="s">
        <v>25</v>
      </c>
      <c r="E36" s="21">
        <v>180</v>
      </c>
      <c r="F36" s="27">
        <v>4.3724999999999996</v>
      </c>
    </row>
    <row r="37" spans="1:6" s="11" customFormat="1" x14ac:dyDescent="0.3">
      <c r="A37" s="26">
        <v>45551</v>
      </c>
      <c r="B37" s="26">
        <v>45553</v>
      </c>
      <c r="C37" s="26">
        <v>48683</v>
      </c>
      <c r="D37" s="19" t="s">
        <v>25</v>
      </c>
      <c r="E37" s="21">
        <v>415</v>
      </c>
      <c r="F37" s="27">
        <v>4.0250000000000004</v>
      </c>
    </row>
    <row r="38" spans="1:6" s="11" customFormat="1" x14ac:dyDescent="0.3">
      <c r="A38" s="26">
        <v>45519</v>
      </c>
      <c r="B38" s="26">
        <v>45521</v>
      </c>
      <c r="C38" s="26">
        <v>48683</v>
      </c>
      <c r="D38" s="19" t="s">
        <v>25</v>
      </c>
      <c r="E38" s="21">
        <v>415</v>
      </c>
      <c r="F38" s="27">
        <v>4.0824999999999996</v>
      </c>
    </row>
    <row r="39" spans="1:6" s="11" customFormat="1" x14ac:dyDescent="0.3">
      <c r="A39" s="26">
        <v>45488</v>
      </c>
      <c r="B39" s="26">
        <v>45490</v>
      </c>
      <c r="C39" s="26">
        <v>48683</v>
      </c>
      <c r="D39" s="19" t="s">
        <v>25</v>
      </c>
      <c r="E39" s="21">
        <v>415</v>
      </c>
      <c r="F39" s="27">
        <v>4.41</v>
      </c>
    </row>
    <row r="40" spans="1:6" s="11" customFormat="1" x14ac:dyDescent="0.3">
      <c r="A40" s="26">
        <v>45460</v>
      </c>
      <c r="B40" s="26">
        <v>45462</v>
      </c>
      <c r="C40" s="26">
        <v>48683</v>
      </c>
      <c r="D40" s="19" t="s">
        <v>25</v>
      </c>
      <c r="E40" s="21">
        <v>435</v>
      </c>
      <c r="F40" s="27">
        <v>4.55</v>
      </c>
    </row>
    <row r="41" spans="1:6" s="11" customFormat="1" x14ac:dyDescent="0.3">
      <c r="A41" s="26">
        <v>45427</v>
      </c>
      <c r="B41" s="26">
        <v>45429</v>
      </c>
      <c r="C41" s="26">
        <v>48683</v>
      </c>
      <c r="D41" s="19" t="s">
        <v>25</v>
      </c>
      <c r="E41" s="21">
        <v>415</v>
      </c>
      <c r="F41" s="27">
        <v>4.62</v>
      </c>
    </row>
    <row r="42" spans="1:6" s="11" customFormat="1" x14ac:dyDescent="0.3">
      <c r="A42" s="26">
        <v>45397</v>
      </c>
      <c r="B42" s="26">
        <v>45399</v>
      </c>
      <c r="C42" s="26">
        <v>48683</v>
      </c>
      <c r="D42" s="19" t="s">
        <v>25</v>
      </c>
      <c r="E42" s="21">
        <v>415</v>
      </c>
      <c r="F42" s="27">
        <v>4.7699999999999996</v>
      </c>
    </row>
    <row r="43" spans="1:6" s="11" customFormat="1" x14ac:dyDescent="0.3">
      <c r="A43" s="26">
        <v>45366</v>
      </c>
      <c r="B43" s="26">
        <v>45370</v>
      </c>
      <c r="C43" s="26">
        <v>48683</v>
      </c>
      <c r="D43" s="19" t="s">
        <v>25</v>
      </c>
      <c r="E43" s="21">
        <v>415</v>
      </c>
      <c r="F43" s="27">
        <v>4.6475</v>
      </c>
    </row>
    <row r="44" spans="1:6" s="11" customFormat="1" x14ac:dyDescent="0.3">
      <c r="A44" s="26">
        <v>45337</v>
      </c>
      <c r="B44" s="26">
        <v>45341</v>
      </c>
      <c r="C44" s="26">
        <v>48683</v>
      </c>
      <c r="D44" s="19" t="s">
        <v>25</v>
      </c>
      <c r="E44" s="21">
        <v>415</v>
      </c>
      <c r="F44" s="27">
        <v>4.7675000000000001</v>
      </c>
    </row>
    <row r="45" spans="1:6" s="11" customFormat="1" x14ac:dyDescent="0.3">
      <c r="A45" s="26">
        <v>45306</v>
      </c>
      <c r="B45" s="26">
        <v>45308</v>
      </c>
      <c r="C45" s="26">
        <v>49572</v>
      </c>
      <c r="D45" s="19" t="s">
        <v>24</v>
      </c>
      <c r="E45" s="21">
        <v>155</v>
      </c>
      <c r="F45" s="27">
        <v>2.5575000000000001</v>
      </c>
    </row>
    <row r="46" spans="1:6" s="11" customFormat="1" x14ac:dyDescent="0.3">
      <c r="A46" s="26">
        <v>45306</v>
      </c>
      <c r="B46" s="26">
        <v>45308</v>
      </c>
      <c r="C46" s="26">
        <v>48683</v>
      </c>
      <c r="D46" s="19" t="s">
        <v>25</v>
      </c>
      <c r="E46" s="21">
        <v>260</v>
      </c>
      <c r="F46" s="27">
        <v>4.5075000000000003</v>
      </c>
    </row>
    <row r="47" spans="1:6" s="11" customFormat="1" x14ac:dyDescent="0.3">
      <c r="A47" s="26">
        <v>45275</v>
      </c>
      <c r="B47" s="26">
        <v>45279</v>
      </c>
      <c r="C47" s="26">
        <v>49572</v>
      </c>
      <c r="D47" s="19" t="s">
        <v>24</v>
      </c>
      <c r="E47" s="21">
        <v>247</v>
      </c>
      <c r="F47" s="27">
        <v>2.6</v>
      </c>
    </row>
    <row r="48" spans="1:6" s="11" customFormat="1" x14ac:dyDescent="0.3">
      <c r="A48" s="26">
        <v>45275</v>
      </c>
      <c r="B48" s="26">
        <v>45279</v>
      </c>
      <c r="C48" s="26">
        <v>50145</v>
      </c>
      <c r="D48" s="19" t="s">
        <v>25</v>
      </c>
      <c r="E48" s="21">
        <v>168</v>
      </c>
      <c r="F48" s="27">
        <v>4.7649999999999997</v>
      </c>
    </row>
    <row r="49" spans="1:6" s="11" customFormat="1" x14ac:dyDescent="0.3">
      <c r="A49" s="26">
        <v>45245</v>
      </c>
      <c r="B49" s="26">
        <v>45247</v>
      </c>
      <c r="C49" s="26">
        <v>50145</v>
      </c>
      <c r="D49" s="19" t="s">
        <v>25</v>
      </c>
      <c r="E49" s="21">
        <v>415</v>
      </c>
      <c r="F49" s="27">
        <v>5.1425000000000001</v>
      </c>
    </row>
    <row r="50" spans="1:6" s="11" customFormat="1" x14ac:dyDescent="0.3">
      <c r="A50" s="26">
        <v>45215</v>
      </c>
      <c r="B50" s="26">
        <v>45217</v>
      </c>
      <c r="C50" s="26">
        <v>50145</v>
      </c>
      <c r="D50" s="19" t="s">
        <v>25</v>
      </c>
      <c r="E50" s="21">
        <v>415</v>
      </c>
      <c r="F50" s="27">
        <v>5.5625</v>
      </c>
    </row>
    <row r="51" spans="1:6" s="11" customFormat="1" x14ac:dyDescent="0.3">
      <c r="A51" s="26">
        <v>45184</v>
      </c>
      <c r="B51" s="26">
        <v>45188</v>
      </c>
      <c r="C51" s="26">
        <v>50145</v>
      </c>
      <c r="D51" s="19" t="s">
        <v>25</v>
      </c>
      <c r="E51" s="21">
        <v>415</v>
      </c>
      <c r="F51" s="27">
        <v>5.0774999999999997</v>
      </c>
    </row>
    <row r="52" spans="1:6" s="11" customFormat="1" x14ac:dyDescent="0.3">
      <c r="A52" s="26">
        <v>45153</v>
      </c>
      <c r="B52" s="26">
        <v>45155</v>
      </c>
      <c r="C52" s="26">
        <v>50145</v>
      </c>
      <c r="D52" s="19" t="s">
        <v>25</v>
      </c>
      <c r="E52" s="21">
        <v>415</v>
      </c>
      <c r="F52" s="27">
        <v>5.1025</v>
      </c>
    </row>
    <row r="53" spans="1:6" s="11" customFormat="1" x14ac:dyDescent="0.3">
      <c r="A53" s="26">
        <v>45124</v>
      </c>
      <c r="B53" s="26">
        <v>45126</v>
      </c>
      <c r="C53" s="26">
        <v>50145</v>
      </c>
      <c r="D53" s="19" t="s">
        <v>25</v>
      </c>
      <c r="E53" s="21">
        <v>415</v>
      </c>
      <c r="F53" s="27">
        <v>4.67</v>
      </c>
    </row>
    <row r="54" spans="1:6" s="11" customFormat="1" x14ac:dyDescent="0.3">
      <c r="A54" s="26">
        <v>45093</v>
      </c>
      <c r="B54" s="26">
        <v>45096</v>
      </c>
      <c r="C54" s="26">
        <v>50145</v>
      </c>
      <c r="D54" s="19" t="s">
        <v>25</v>
      </c>
      <c r="E54" s="21">
        <v>435</v>
      </c>
      <c r="F54" s="27">
        <v>4.6375000000000002</v>
      </c>
    </row>
    <row r="55" spans="1:6" s="11" customFormat="1" x14ac:dyDescent="0.3">
      <c r="A55" s="26">
        <v>45061</v>
      </c>
      <c r="B55" s="26">
        <v>45063</v>
      </c>
      <c r="C55" s="26">
        <v>50145</v>
      </c>
      <c r="D55" s="19" t="str">
        <f>IFERROR(VLOOKUP(C55, $E$1:$E$7,2,FALSE), "Nominal")</f>
        <v>Nominal</v>
      </c>
      <c r="E55" s="21">
        <v>415</v>
      </c>
      <c r="F55" s="27">
        <v>4.2699999999999996</v>
      </c>
    </row>
    <row r="56" spans="1:6" s="11" customFormat="1" x14ac:dyDescent="0.3">
      <c r="A56" s="26">
        <v>45033</v>
      </c>
      <c r="B56" s="26">
        <v>45035</v>
      </c>
      <c r="C56" s="26">
        <v>50145</v>
      </c>
      <c r="D56" s="19" t="str">
        <f>IFERROR(VLOOKUP(C56, $E$1:$E$7,2,FALSE), "Nominal")</f>
        <v>Nominal</v>
      </c>
      <c r="E56" s="21">
        <v>415</v>
      </c>
      <c r="F56" s="27">
        <v>4.1875</v>
      </c>
    </row>
    <row r="57" spans="1:6" s="11" customFormat="1" x14ac:dyDescent="0.3">
      <c r="A57" s="26">
        <v>45000</v>
      </c>
      <c r="B57" s="26">
        <v>45002</v>
      </c>
      <c r="C57" s="26">
        <v>50145</v>
      </c>
      <c r="D57" s="19" t="str">
        <f>IFERROR(VLOOKUP(C57, $E$1:$E$7,2,FALSE), "Nominal")</f>
        <v>Nominal</v>
      </c>
      <c r="E57" s="21">
        <v>415</v>
      </c>
      <c r="F57" s="27">
        <v>4.5975000000000001</v>
      </c>
    </row>
    <row r="58" spans="1:6" s="11" customFormat="1" x14ac:dyDescent="0.3">
      <c r="A58" s="26">
        <v>44972</v>
      </c>
      <c r="B58" s="26">
        <v>44974</v>
      </c>
      <c r="C58" s="26">
        <v>50145</v>
      </c>
      <c r="D58" s="19" t="str">
        <f>IFERROR(VLOOKUP(C58, $E$1:$E$7,2,FALSE), "Nominal")</f>
        <v>Nominal</v>
      </c>
      <c r="E58" s="21">
        <v>415</v>
      </c>
      <c r="F58" s="27">
        <v>4.4474999999999998</v>
      </c>
    </row>
    <row r="59" spans="1:6" s="11" customFormat="1" x14ac:dyDescent="0.3">
      <c r="A59" s="26">
        <v>44942</v>
      </c>
      <c r="B59" s="26">
        <v>44944</v>
      </c>
      <c r="C59" s="26">
        <v>50145</v>
      </c>
      <c r="D59" s="19" t="str">
        <f>IFERROR(VLOOKUP(C59, $E$1:$E$7,2,FALSE), "Nominal")</f>
        <v>Nominal</v>
      </c>
      <c r="E59" s="21">
        <v>225</v>
      </c>
      <c r="F59" s="27">
        <v>4.2225000000000001</v>
      </c>
    </row>
    <row r="60" spans="1:6" s="11" customFormat="1" x14ac:dyDescent="0.3">
      <c r="A60" s="26">
        <v>44942</v>
      </c>
      <c r="B60" s="26">
        <v>44944</v>
      </c>
      <c r="C60" s="26">
        <v>51399</v>
      </c>
      <c r="D60" s="19" t="s">
        <v>24</v>
      </c>
      <c r="E60" s="21">
        <v>190</v>
      </c>
      <c r="F60" s="27">
        <v>2.1375000000000002</v>
      </c>
    </row>
    <row r="61" spans="1:6" s="11" customFormat="1" x14ac:dyDescent="0.3">
      <c r="A61" s="25">
        <v>44910</v>
      </c>
      <c r="B61" s="25">
        <v>44914</v>
      </c>
      <c r="C61" s="25">
        <v>51636</v>
      </c>
      <c r="D61" s="2" t="str">
        <f>IFERROR(VLOOKUP(C61, $E$1:$E$7,2,FALSE), "Nominal")</f>
        <v>Nominal</v>
      </c>
      <c r="E61" s="13">
        <v>25</v>
      </c>
      <c r="F61" s="28">
        <v>4.5049999999999999</v>
      </c>
    </row>
    <row r="62" spans="1:6" s="11" customFormat="1" x14ac:dyDescent="0.3">
      <c r="A62" s="25">
        <v>44910</v>
      </c>
      <c r="B62" s="25">
        <v>44914</v>
      </c>
      <c r="C62" s="25">
        <v>51399</v>
      </c>
      <c r="D62" s="2" t="s">
        <v>24</v>
      </c>
      <c r="E62" s="13">
        <v>390</v>
      </c>
      <c r="F62" s="28">
        <v>2.1</v>
      </c>
    </row>
    <row r="63" spans="1:6" s="11" customFormat="1" x14ac:dyDescent="0.3">
      <c r="A63" s="25">
        <v>44880</v>
      </c>
      <c r="B63" s="25">
        <v>44882</v>
      </c>
      <c r="C63" s="25">
        <v>51636</v>
      </c>
      <c r="D63" s="2" t="str">
        <f>IFERROR(VLOOKUP(C63, $E$1:$E$7,2,FALSE), "Nominal")</f>
        <v>Nominal</v>
      </c>
      <c r="E63" s="13">
        <v>415</v>
      </c>
      <c r="F63" s="28">
        <v>4.5949999999999998</v>
      </c>
    </row>
    <row r="64" spans="1:6" s="11" customFormat="1" x14ac:dyDescent="0.3">
      <c r="A64" s="25">
        <v>44851</v>
      </c>
      <c r="B64" s="25">
        <v>44853</v>
      </c>
      <c r="C64" s="25">
        <v>51636</v>
      </c>
      <c r="D64" s="2" t="str">
        <f>IFERROR(VLOOKUP(C64, $E$1:$E$7,2,FALSE), "Nominal")</f>
        <v>Nominal</v>
      </c>
      <c r="E64" s="13">
        <v>415</v>
      </c>
      <c r="F64" s="28">
        <v>4.9124999999999996</v>
      </c>
    </row>
    <row r="65" spans="1:6" s="11" customFormat="1" x14ac:dyDescent="0.3">
      <c r="A65" s="25">
        <v>44819</v>
      </c>
      <c r="B65" s="25">
        <v>44823</v>
      </c>
      <c r="C65" s="25">
        <v>51636</v>
      </c>
      <c r="D65" s="2" t="str">
        <f>IFERROR(VLOOKUP(C65, $E$1:$E$7,2,FALSE), "Nominal")</f>
        <v>Nominal</v>
      </c>
      <c r="E65" s="13">
        <v>415</v>
      </c>
      <c r="F65" s="28">
        <v>4.3099999999999996</v>
      </c>
    </row>
    <row r="66" spans="1:6" s="11" customFormat="1" x14ac:dyDescent="0.3">
      <c r="A66" s="25">
        <v>44788</v>
      </c>
      <c r="B66" s="25">
        <v>44790</v>
      </c>
      <c r="C66" s="25">
        <v>51636</v>
      </c>
      <c r="D66" s="2" t="str">
        <f>IFERROR(VLOOKUP(C66, $E$1:$E$7,2,FALSE), "Nominal")</f>
        <v>Nominal</v>
      </c>
      <c r="E66" s="13">
        <v>415</v>
      </c>
      <c r="F66" s="28">
        <v>3.8525</v>
      </c>
    </row>
    <row r="67" spans="1:6" s="11" customFormat="1" x14ac:dyDescent="0.3">
      <c r="A67" s="25">
        <v>44757</v>
      </c>
      <c r="B67" s="25">
        <v>44761</v>
      </c>
      <c r="C67" s="25">
        <v>51636</v>
      </c>
      <c r="D67" s="2" t="str">
        <f>IFERROR(VLOOKUP(C67, $E$1:$E$7,2,FALSE), "Nominal")</f>
        <v>Nominal</v>
      </c>
      <c r="E67" s="13">
        <v>415</v>
      </c>
      <c r="F67" s="28">
        <v>3.95</v>
      </c>
    </row>
    <row r="68" spans="1:6" s="11" customFormat="1" x14ac:dyDescent="0.3">
      <c r="A68" s="25"/>
      <c r="B68" s="25"/>
      <c r="C68" s="25"/>
      <c r="D68" s="2"/>
      <c r="E68" s="13"/>
      <c r="F68" s="14"/>
    </row>
    <row r="69" spans="1:6" s="11" customFormat="1" x14ac:dyDescent="0.3">
      <c r="A69" s="25"/>
      <c r="B69" s="25"/>
      <c r="C69" s="25"/>
      <c r="D69" s="2"/>
      <c r="E69" s="13"/>
      <c r="F69" s="14"/>
    </row>
    <row r="70" spans="1:6" s="11" customFormat="1" x14ac:dyDescent="0.3">
      <c r="A70" s="25"/>
      <c r="B70" s="25"/>
      <c r="C70" s="25"/>
      <c r="D70" s="2"/>
      <c r="E70" s="13"/>
      <c r="F70" s="14"/>
    </row>
    <row r="71" spans="1:6" s="11" customFormat="1" x14ac:dyDescent="0.3">
      <c r="A71" s="25"/>
      <c r="B71" s="25"/>
      <c r="C71" s="25"/>
      <c r="D71" s="2"/>
      <c r="E71" s="13"/>
      <c r="F71" s="14"/>
    </row>
    <row r="72" spans="1:6" s="11" customFormat="1" x14ac:dyDescent="0.3">
      <c r="A72" s="25"/>
      <c r="B72" s="25"/>
      <c r="C72" s="25"/>
      <c r="D72" s="2"/>
      <c r="E72" s="13"/>
      <c r="F72" s="14"/>
    </row>
    <row r="73" spans="1:6" s="11" customFormat="1" x14ac:dyDescent="0.3">
      <c r="A73" s="25"/>
      <c r="B73" s="25"/>
      <c r="C73" s="25"/>
      <c r="D73" s="2"/>
      <c r="E73" s="13"/>
      <c r="F73" s="14"/>
    </row>
    <row r="74" spans="1:6" s="11" customFormat="1" x14ac:dyDescent="0.3">
      <c r="A74" s="25"/>
      <c r="B74" s="25"/>
      <c r="C74" s="25"/>
      <c r="D74" s="2"/>
      <c r="E74" s="13"/>
      <c r="F74" s="14"/>
    </row>
    <row r="75" spans="1:6" s="11" customFormat="1" x14ac:dyDescent="0.3">
      <c r="A75" s="25"/>
      <c r="B75" s="25"/>
      <c r="C75" s="25"/>
      <c r="D75" s="2"/>
      <c r="E75" s="13"/>
      <c r="F75" s="14"/>
    </row>
    <row r="76" spans="1:6" s="11" customFormat="1" x14ac:dyDescent="0.3">
      <c r="A76" s="25"/>
      <c r="B76" s="25"/>
      <c r="C76" s="25"/>
      <c r="D76" s="2"/>
      <c r="E76" s="13"/>
      <c r="F76" s="14"/>
    </row>
    <row r="77" spans="1:6" s="11" customFormat="1" x14ac:dyDescent="0.3">
      <c r="A77" s="25"/>
      <c r="B77" s="25"/>
      <c r="C77" s="25"/>
      <c r="D77" s="2"/>
      <c r="E77" s="13"/>
      <c r="F77" s="14"/>
    </row>
    <row r="78" spans="1:6" s="11" customFormat="1" x14ac:dyDescent="0.3">
      <c r="A78" s="25"/>
      <c r="B78" s="25"/>
      <c r="C78" s="25"/>
      <c r="D78" s="2"/>
      <c r="E78" s="13"/>
      <c r="F78" s="14"/>
    </row>
    <row r="79" spans="1:6" s="11" customFormat="1" x14ac:dyDescent="0.3">
      <c r="A79" s="25"/>
      <c r="B79" s="25"/>
      <c r="C79" s="25"/>
      <c r="D79" s="2"/>
      <c r="E79" s="13"/>
      <c r="F79" s="14"/>
    </row>
    <row r="80" spans="1:6" s="11" customFormat="1" x14ac:dyDescent="0.3">
      <c r="A80" s="25"/>
      <c r="B80" s="25"/>
      <c r="C80" s="25"/>
      <c r="D80" s="2"/>
      <c r="E80" s="13"/>
      <c r="F80" s="14"/>
    </row>
    <row r="81" spans="1:6" s="11" customFormat="1" x14ac:dyDescent="0.3">
      <c r="A81" s="25"/>
      <c r="B81" s="25"/>
      <c r="C81" s="25"/>
      <c r="D81" s="2"/>
      <c r="E81" s="13"/>
      <c r="F81" s="14"/>
    </row>
    <row r="82" spans="1:6" s="11" customFormat="1" x14ac:dyDescent="0.3">
      <c r="A82" s="25"/>
      <c r="B82" s="25"/>
      <c r="C82" s="25"/>
      <c r="D82" s="2"/>
      <c r="E82" s="13"/>
      <c r="F82" s="14"/>
    </row>
    <row r="83" spans="1:6" s="11" customFormat="1" x14ac:dyDescent="0.3">
      <c r="A83" s="25"/>
      <c r="B83" s="25"/>
      <c r="C83" s="25"/>
      <c r="D83" s="2"/>
      <c r="E83" s="13"/>
      <c r="F83" s="14"/>
    </row>
    <row r="84" spans="1:6" s="11" customFormat="1" x14ac:dyDescent="0.3">
      <c r="A84" s="25"/>
      <c r="B84" s="25"/>
      <c r="C84" s="25"/>
      <c r="D84" s="2"/>
      <c r="E84" s="13"/>
      <c r="F84" s="14"/>
    </row>
    <row r="85" spans="1:6" s="11" customFormat="1" x14ac:dyDescent="0.3">
      <c r="A85" s="25"/>
      <c r="B85" s="25"/>
      <c r="C85" s="25"/>
      <c r="D85" s="2"/>
      <c r="E85" s="13"/>
      <c r="F85" s="14"/>
    </row>
    <row r="86" spans="1:6" s="11" customFormat="1" x14ac:dyDescent="0.3">
      <c r="A86" s="25"/>
      <c r="B86" s="25"/>
      <c r="C86" s="25"/>
      <c r="D86" s="2"/>
      <c r="E86" s="13"/>
      <c r="F86" s="14"/>
    </row>
    <row r="87" spans="1:6" s="11" customFormat="1" x14ac:dyDescent="0.3">
      <c r="A87" s="25"/>
      <c r="B87" s="25"/>
      <c r="C87" s="25"/>
      <c r="D87" s="2"/>
      <c r="E87" s="13"/>
      <c r="F87" s="14"/>
    </row>
    <row r="88" spans="1:6" x14ac:dyDescent="0.3">
      <c r="A88" s="25"/>
      <c r="B88" s="25"/>
      <c r="C88" s="25"/>
      <c r="F88" s="14"/>
    </row>
    <row r="89" spans="1:6" x14ac:dyDescent="0.3">
      <c r="A89" s="25"/>
      <c r="B89" s="25"/>
      <c r="C89" s="25"/>
      <c r="F89" s="14"/>
    </row>
    <row r="90" spans="1:6" x14ac:dyDescent="0.3">
      <c r="A90" s="25"/>
      <c r="B90" s="25"/>
      <c r="C90" s="25"/>
      <c r="F90" s="14"/>
    </row>
    <row r="91" spans="1:6" x14ac:dyDescent="0.3">
      <c r="A91" s="25"/>
      <c r="B91" s="25"/>
      <c r="C91" s="25"/>
      <c r="F91" s="14"/>
    </row>
    <row r="92" spans="1:6" x14ac:dyDescent="0.3">
      <c r="A92" s="25"/>
      <c r="B92" s="25"/>
      <c r="C92" s="25"/>
      <c r="F92" s="14"/>
    </row>
    <row r="93" spans="1:6" x14ac:dyDescent="0.3">
      <c r="A93" s="25"/>
      <c r="B93" s="25"/>
      <c r="C93" s="25"/>
      <c r="F93" s="14"/>
    </row>
    <row r="94" spans="1:6" x14ac:dyDescent="0.3">
      <c r="A94" s="25"/>
      <c r="B94" s="25"/>
      <c r="C94" s="25"/>
      <c r="F94" s="14"/>
    </row>
    <row r="95" spans="1:6" x14ac:dyDescent="0.3">
      <c r="A95" s="25"/>
      <c r="B95" s="25"/>
      <c r="C95" s="25"/>
      <c r="F95" s="14"/>
    </row>
    <row r="96" spans="1:6" x14ac:dyDescent="0.3">
      <c r="A96" s="25"/>
      <c r="B96" s="25"/>
      <c r="C96" s="25"/>
      <c r="F96" s="14"/>
    </row>
    <row r="97" spans="1:6" x14ac:dyDescent="0.3">
      <c r="A97" s="25"/>
      <c r="B97" s="25"/>
      <c r="C97" s="25"/>
      <c r="F97" s="14"/>
    </row>
    <row r="98" spans="1:6" x14ac:dyDescent="0.3">
      <c r="A98" s="25"/>
      <c r="B98" s="25"/>
      <c r="C98" s="25"/>
      <c r="F98" s="14"/>
    </row>
    <row r="99" spans="1:6" x14ac:dyDescent="0.3">
      <c r="A99" s="25"/>
      <c r="B99" s="25"/>
      <c r="C99" s="25"/>
      <c r="F99" s="14"/>
    </row>
    <row r="100" spans="1:6" x14ac:dyDescent="0.3">
      <c r="A100" s="25"/>
      <c r="B100" s="25"/>
      <c r="C100" s="25"/>
      <c r="F100" s="14"/>
    </row>
    <row r="101" spans="1:6" x14ac:dyDescent="0.3">
      <c r="A101" s="25"/>
      <c r="B101" s="25"/>
      <c r="C101" s="25"/>
      <c r="F101" s="14"/>
    </row>
    <row r="102" spans="1:6" x14ac:dyDescent="0.3">
      <c r="A102" s="25"/>
      <c r="B102" s="25"/>
      <c r="C102" s="25"/>
      <c r="F102" s="14"/>
    </row>
    <row r="103" spans="1:6" x14ac:dyDescent="0.3">
      <c r="A103" s="25"/>
      <c r="B103" s="25"/>
      <c r="C103" s="25"/>
      <c r="F103" s="14"/>
    </row>
    <row r="104" spans="1:6" x14ac:dyDescent="0.3">
      <c r="A104" s="25"/>
      <c r="B104" s="25"/>
      <c r="C104" s="25"/>
      <c r="F104" s="14"/>
    </row>
    <row r="105" spans="1:6" x14ac:dyDescent="0.3">
      <c r="A105" s="25"/>
      <c r="B105" s="25"/>
      <c r="C105" s="25"/>
      <c r="F105" s="14"/>
    </row>
    <row r="106" spans="1:6" x14ac:dyDescent="0.3">
      <c r="A106" s="25"/>
      <c r="B106" s="25"/>
      <c r="C106" s="25"/>
      <c r="F106" s="14"/>
    </row>
    <row r="107" spans="1:6" x14ac:dyDescent="0.3">
      <c r="A107" s="25"/>
      <c r="B107" s="25"/>
      <c r="C107" s="25"/>
      <c r="F107" s="14"/>
    </row>
    <row r="108" spans="1:6" x14ac:dyDescent="0.3">
      <c r="A108" s="25"/>
      <c r="B108" s="25"/>
      <c r="C108" s="25"/>
      <c r="F108" s="14"/>
    </row>
    <row r="109" spans="1:6" x14ac:dyDescent="0.3">
      <c r="A109" s="25"/>
      <c r="B109" s="25"/>
      <c r="C109" s="25"/>
      <c r="F109" s="14"/>
    </row>
    <row r="110" spans="1:6" x14ac:dyDescent="0.3">
      <c r="A110" s="25"/>
      <c r="B110" s="25"/>
      <c r="C110" s="25"/>
      <c r="F110" s="14"/>
    </row>
    <row r="111" spans="1:6" x14ac:dyDescent="0.3">
      <c r="A111" s="25"/>
      <c r="B111" s="25"/>
      <c r="C111" s="25"/>
      <c r="F111" s="14"/>
    </row>
    <row r="112" spans="1:6" x14ac:dyDescent="0.3">
      <c r="A112" s="25"/>
      <c r="B112" s="25"/>
      <c r="C112" s="25"/>
      <c r="F112" s="14"/>
    </row>
    <row r="113" spans="1:6" x14ac:dyDescent="0.3">
      <c r="A113" s="25"/>
      <c r="B113" s="25"/>
      <c r="C113" s="25"/>
      <c r="F113" s="14"/>
    </row>
    <row r="114" spans="1:6" s="18" customFormat="1" x14ac:dyDescent="0.3">
      <c r="A114" s="25"/>
      <c r="B114" s="25"/>
      <c r="C114" s="25"/>
      <c r="D114" s="2"/>
      <c r="E114" s="13"/>
      <c r="F114" s="14"/>
    </row>
    <row r="115" spans="1:6" x14ac:dyDescent="0.3">
      <c r="A115" s="25"/>
      <c r="B115" s="25"/>
      <c r="C115" s="25"/>
      <c r="F115" s="14"/>
    </row>
    <row r="116" spans="1:6" x14ac:dyDescent="0.3">
      <c r="A116" s="26"/>
      <c r="B116" s="26"/>
      <c r="C116" s="25"/>
      <c r="D116" s="19"/>
      <c r="E116" s="21"/>
      <c r="F116" s="2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Tender</vt:lpstr>
      <vt:lpstr>LSAP Repurchase</vt:lpstr>
    </vt:vector>
  </TitlesOfParts>
  <Company>NZ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Government Bond Repurchase Results History Data</dc:title>
  <dc:creator>New Zealand Debt Management Office</dc:creator>
  <cp:lastModifiedBy>Hamish Procter [TSY]</cp:lastModifiedBy>
  <cp:lastPrinted>2023-05-16T03:15:08Z</cp:lastPrinted>
  <dcterms:created xsi:type="dcterms:W3CDTF">2016-11-23T01:21:53Z</dcterms:created>
  <dcterms:modified xsi:type="dcterms:W3CDTF">2026-10-07T01:40:46Z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e837a-5a0d-4f59-927d-d71c60f2d534_Enabled">
    <vt:lpwstr>true</vt:lpwstr>
  </property>
  <property fmtid="{D5CDD505-2E9C-101B-9397-08002B2CF9AE}" pid="3" name="MSIP_Label_defe837a-5a0d-4f59-927d-d71c60f2d534_SetDate">
    <vt:lpwstr>2026-09-22T04:46:35Z</vt:lpwstr>
  </property>
  <property fmtid="{D5CDD505-2E9C-101B-9397-08002B2CF9AE}" pid="4" name="MSIP_Label_defe837a-5a0d-4f59-927d-d71c60f2d534_Method">
    <vt:lpwstr>Privileged</vt:lpwstr>
  </property>
  <property fmtid="{D5CDD505-2E9C-101B-9397-08002B2CF9AE}" pid="5" name="MSIP_Label_defe837a-5a0d-4f59-927d-d71c60f2d534_Name">
    <vt:lpwstr>UNCLASSIFIED</vt:lpwstr>
  </property>
  <property fmtid="{D5CDD505-2E9C-101B-9397-08002B2CF9AE}" pid="6" name="MSIP_Label_defe837a-5a0d-4f59-927d-d71c60f2d534_SiteId">
    <vt:lpwstr>eea60533-09ef-4b7a-9406-0f38551cc613</vt:lpwstr>
  </property>
  <property fmtid="{D5CDD505-2E9C-101B-9397-08002B2CF9AE}" pid="7" name="MSIP_Label_defe837a-5a0d-4f59-927d-d71c60f2d534_ActionId">
    <vt:lpwstr>3e8c86aa-5037-4572-98da-0310a0ccd51d</vt:lpwstr>
  </property>
  <property fmtid="{D5CDD505-2E9C-101B-9397-08002B2CF9AE}" pid="8" name="MSIP_Label_defe837a-5a0d-4f59-927d-d71c60f2d534_ContentBits">
    <vt:lpwstr>0</vt:lpwstr>
  </property>
  <property fmtid="{D5CDD505-2E9C-101B-9397-08002B2CF9AE}" pid="9" name="MSIP_Label_defe837a-5a0d-4f59-927d-d71c60f2d534_Tag">
    <vt:lpwstr>10, 0, 1, 1</vt:lpwstr>
  </property>
</Properties>
</file>